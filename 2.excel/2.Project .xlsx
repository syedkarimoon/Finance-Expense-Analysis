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24226"/>
  <mc:AlternateContent xmlns:mc="http://schemas.openxmlformats.org/markup-compatibility/2006">
    <mc:Choice Requires="x15">
      <x15ac:absPath xmlns:x15ac="http://schemas.microsoft.com/office/spreadsheetml/2010/11/ac" url="C:\Users\lenovo\Desktop\"/>
    </mc:Choice>
  </mc:AlternateContent>
  <xr:revisionPtr revIDLastSave="0" documentId="13_ncr:1_{4BB963D3-D57F-4507-9D31-CF734849D49E}" xr6:coauthVersionLast="36" xr6:coauthVersionMax="36" xr10:uidLastSave="{00000000-0000-0000-0000-000000000000}"/>
  <bookViews>
    <workbookView xWindow="0" yWindow="0" windowWidth="20490" windowHeight="7425" tabRatio="721" activeTab="1" xr2:uid="{00000000-000D-0000-FFFF-FFFF00000000}"/>
  </bookViews>
  <sheets>
    <sheet name="Raw Data" sheetId="1" r:id="rId1"/>
    <sheet name="Cleaned data" sheetId="2" r:id="rId2"/>
    <sheet name="calculations" sheetId="3" r:id="rId3"/>
    <sheet name="created pivot tables" sheetId="7" r:id="rId4"/>
    <sheet name="recommended pt" sheetId="9" r:id="rId5"/>
    <sheet name="dashboard" sheetId="8" r:id="rId6"/>
  </sheets>
  <definedNames>
    <definedName name="_xlnm._FilterDatabase" localSheetId="2" hidden="1">calculations!$C$12:$D$13</definedName>
    <definedName name="_xlnm._FilterDatabase" localSheetId="3" hidden="1">'created pivot tables'!$G$3:$H$11</definedName>
    <definedName name="Slicer_Category">#N/A</definedName>
    <definedName name="Slicer_Category1">#N/A</definedName>
    <definedName name="Slicer_Month">#N/A</definedName>
    <definedName name="Slicer_Payment_Mode">#N/A</definedName>
    <definedName name="Slicer_Subcategory">#N/A</definedName>
  </definedNames>
  <calcPr calcId="191029"/>
  <pivotCaches>
    <pivotCache cacheId="0" r:id="rId7"/>
    <pivotCache cacheId="1" r:id="rId8"/>
    <pivotCache cacheId="2" r:id="rId9"/>
    <pivotCache cacheId="3" r:id="rId10"/>
    <pivotCache cacheId="4"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C15" i="3" l="1"/>
  <c r="K15"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2" i="3"/>
  <c r="L3" i="3"/>
  <c r="L4" i="3"/>
  <c r="L2" i="3"/>
  <c r="H3" i="3" l="1"/>
  <c r="H4" i="3"/>
  <c r="H5" i="3"/>
  <c r="H6" i="3"/>
  <c r="H7" i="3"/>
  <c r="H8" i="3"/>
  <c r="H2" i="3"/>
  <c r="D3" i="3"/>
  <c r="D4" i="3"/>
  <c r="D5" i="3"/>
  <c r="D6" i="3"/>
  <c r="D7" i="3"/>
  <c r="D8" i="3"/>
  <c r="D2" i="3"/>
  <c r="I4" i="3" l="1"/>
  <c r="I7" i="3"/>
  <c r="I5" i="3"/>
  <c r="E4" i="3"/>
  <c r="E3" i="3"/>
  <c r="E2" i="3"/>
  <c r="E8" i="3"/>
  <c r="A2" i="3"/>
  <c r="I3" i="3" s="1"/>
  <c r="O151" i="2"/>
  <c r="N151" i="2"/>
  <c r="M151" i="2"/>
  <c r="O150" i="2"/>
  <c r="N150" i="2"/>
  <c r="M150" i="2"/>
  <c r="O149" i="2"/>
  <c r="N149" i="2"/>
  <c r="M149" i="2"/>
  <c r="O148" i="2"/>
  <c r="N148" i="2"/>
  <c r="M148" i="2"/>
  <c r="O147" i="2"/>
  <c r="N147" i="2"/>
  <c r="M147" i="2"/>
  <c r="O146" i="2"/>
  <c r="N146" i="2"/>
  <c r="M146" i="2"/>
  <c r="O145" i="2"/>
  <c r="N145" i="2"/>
  <c r="M145" i="2"/>
  <c r="O144" i="2"/>
  <c r="N144" i="2"/>
  <c r="M144" i="2"/>
  <c r="O143" i="2"/>
  <c r="N143" i="2"/>
  <c r="M143" i="2"/>
  <c r="O142" i="2"/>
  <c r="N142" i="2"/>
  <c r="M142" i="2"/>
  <c r="O141" i="2"/>
  <c r="N141" i="2"/>
  <c r="M141" i="2"/>
  <c r="O140" i="2"/>
  <c r="N140" i="2"/>
  <c r="M140" i="2"/>
  <c r="O139" i="2"/>
  <c r="N139" i="2"/>
  <c r="M139" i="2"/>
  <c r="O138" i="2"/>
  <c r="N138" i="2"/>
  <c r="M138" i="2"/>
  <c r="O137" i="2"/>
  <c r="N137" i="2"/>
  <c r="M137" i="2"/>
  <c r="O136" i="2"/>
  <c r="N136" i="2"/>
  <c r="M136" i="2"/>
  <c r="O135" i="2"/>
  <c r="N135" i="2"/>
  <c r="M135" i="2"/>
  <c r="O134" i="2"/>
  <c r="N134" i="2"/>
  <c r="M134" i="2"/>
  <c r="O133" i="2"/>
  <c r="N133" i="2"/>
  <c r="M133" i="2"/>
  <c r="O132" i="2"/>
  <c r="N132" i="2"/>
  <c r="M132" i="2"/>
  <c r="O131" i="2"/>
  <c r="N131" i="2"/>
  <c r="M131" i="2"/>
  <c r="O130" i="2"/>
  <c r="N130" i="2"/>
  <c r="M130" i="2"/>
  <c r="O129" i="2"/>
  <c r="N129" i="2"/>
  <c r="M129" i="2"/>
  <c r="O128" i="2"/>
  <c r="N128" i="2"/>
  <c r="M128" i="2"/>
  <c r="O127" i="2"/>
  <c r="N127" i="2"/>
  <c r="M127" i="2"/>
  <c r="O126" i="2"/>
  <c r="N126" i="2"/>
  <c r="M126" i="2"/>
  <c r="O125" i="2"/>
  <c r="N125" i="2"/>
  <c r="M125" i="2"/>
  <c r="O124" i="2"/>
  <c r="N124" i="2"/>
  <c r="M124" i="2"/>
  <c r="O123" i="2"/>
  <c r="N123" i="2"/>
  <c r="M123" i="2"/>
  <c r="O122" i="2"/>
  <c r="N122" i="2"/>
  <c r="M122" i="2"/>
  <c r="O121" i="2"/>
  <c r="N121" i="2"/>
  <c r="M121" i="2"/>
  <c r="O120" i="2"/>
  <c r="N120" i="2"/>
  <c r="M120" i="2"/>
  <c r="O119" i="2"/>
  <c r="N119" i="2"/>
  <c r="M119" i="2"/>
  <c r="O118" i="2"/>
  <c r="N118" i="2"/>
  <c r="M118" i="2"/>
  <c r="O117" i="2"/>
  <c r="N117" i="2"/>
  <c r="M117" i="2"/>
  <c r="O116" i="2"/>
  <c r="N116" i="2"/>
  <c r="M116" i="2"/>
  <c r="O115" i="2"/>
  <c r="N115" i="2"/>
  <c r="M115" i="2"/>
  <c r="O114" i="2"/>
  <c r="N114" i="2"/>
  <c r="M114" i="2"/>
  <c r="O113" i="2"/>
  <c r="N113" i="2"/>
  <c r="M113" i="2"/>
  <c r="O112" i="2"/>
  <c r="N112" i="2"/>
  <c r="M112" i="2"/>
  <c r="O111" i="2"/>
  <c r="N111" i="2"/>
  <c r="M111" i="2"/>
  <c r="O110" i="2"/>
  <c r="N110" i="2"/>
  <c r="M110" i="2"/>
  <c r="O109" i="2"/>
  <c r="N109" i="2"/>
  <c r="M109" i="2"/>
  <c r="O108" i="2"/>
  <c r="N108" i="2"/>
  <c r="M108" i="2"/>
  <c r="O107" i="2"/>
  <c r="N107" i="2"/>
  <c r="M107" i="2"/>
  <c r="O106" i="2"/>
  <c r="N106" i="2"/>
  <c r="M106" i="2"/>
  <c r="O105" i="2"/>
  <c r="N105" i="2"/>
  <c r="M105" i="2"/>
  <c r="O104" i="2"/>
  <c r="N104" i="2"/>
  <c r="M104" i="2"/>
  <c r="O103" i="2"/>
  <c r="N103" i="2"/>
  <c r="M103" i="2"/>
  <c r="O102" i="2"/>
  <c r="N102" i="2"/>
  <c r="M102" i="2"/>
  <c r="O101" i="2"/>
  <c r="N101" i="2"/>
  <c r="M101" i="2"/>
  <c r="O100" i="2"/>
  <c r="N100" i="2"/>
  <c r="M100" i="2"/>
  <c r="O99" i="2"/>
  <c r="N99" i="2"/>
  <c r="M99" i="2"/>
  <c r="O98" i="2"/>
  <c r="N98" i="2"/>
  <c r="M98" i="2"/>
  <c r="O97" i="2"/>
  <c r="N97" i="2"/>
  <c r="M97" i="2"/>
  <c r="O96" i="2"/>
  <c r="N96" i="2"/>
  <c r="M96" i="2"/>
  <c r="O95" i="2"/>
  <c r="N95" i="2"/>
  <c r="M95" i="2"/>
  <c r="O94" i="2"/>
  <c r="N94" i="2"/>
  <c r="M94" i="2"/>
  <c r="O93" i="2"/>
  <c r="N93" i="2"/>
  <c r="M93" i="2"/>
  <c r="O92" i="2"/>
  <c r="N92" i="2"/>
  <c r="M92" i="2"/>
  <c r="O91" i="2"/>
  <c r="N91" i="2"/>
  <c r="M91" i="2"/>
  <c r="O90" i="2"/>
  <c r="N90" i="2"/>
  <c r="M90" i="2"/>
  <c r="O89" i="2"/>
  <c r="N89" i="2"/>
  <c r="M89" i="2"/>
  <c r="O88" i="2"/>
  <c r="N88" i="2"/>
  <c r="M88" i="2"/>
  <c r="O87" i="2"/>
  <c r="N87" i="2"/>
  <c r="M87" i="2"/>
  <c r="O86" i="2"/>
  <c r="N86" i="2"/>
  <c r="M86" i="2"/>
  <c r="O85" i="2"/>
  <c r="N85" i="2"/>
  <c r="M85" i="2"/>
  <c r="O84" i="2"/>
  <c r="N84" i="2"/>
  <c r="M84" i="2"/>
  <c r="O83" i="2"/>
  <c r="N83" i="2"/>
  <c r="M83" i="2"/>
  <c r="O82" i="2"/>
  <c r="N82" i="2"/>
  <c r="M82" i="2"/>
  <c r="O81" i="2"/>
  <c r="N81" i="2"/>
  <c r="M81" i="2"/>
  <c r="O80" i="2"/>
  <c r="N80" i="2"/>
  <c r="M80" i="2"/>
  <c r="O79" i="2"/>
  <c r="N79" i="2"/>
  <c r="M79" i="2"/>
  <c r="O78" i="2"/>
  <c r="N78" i="2"/>
  <c r="M78" i="2"/>
  <c r="O77" i="2"/>
  <c r="N77" i="2"/>
  <c r="M77" i="2"/>
  <c r="O76" i="2"/>
  <c r="N76" i="2"/>
  <c r="M76" i="2"/>
  <c r="O75" i="2"/>
  <c r="N75" i="2"/>
  <c r="M75" i="2"/>
  <c r="O74" i="2"/>
  <c r="N74" i="2"/>
  <c r="M74" i="2"/>
  <c r="O73" i="2"/>
  <c r="N73" i="2"/>
  <c r="M73" i="2"/>
  <c r="O72" i="2"/>
  <c r="N72" i="2"/>
  <c r="M72" i="2"/>
  <c r="O71" i="2"/>
  <c r="N71" i="2"/>
  <c r="M71" i="2"/>
  <c r="O70" i="2"/>
  <c r="N70" i="2"/>
  <c r="M70" i="2"/>
  <c r="O69" i="2"/>
  <c r="N69" i="2"/>
  <c r="M69" i="2"/>
  <c r="O68" i="2"/>
  <c r="N68" i="2"/>
  <c r="M68" i="2"/>
  <c r="O67" i="2"/>
  <c r="N67" i="2"/>
  <c r="M67" i="2"/>
  <c r="O66" i="2"/>
  <c r="N66" i="2"/>
  <c r="M66" i="2"/>
  <c r="O65" i="2"/>
  <c r="N65" i="2"/>
  <c r="M65" i="2"/>
  <c r="O64" i="2"/>
  <c r="N64" i="2"/>
  <c r="M64" i="2"/>
  <c r="O63" i="2"/>
  <c r="N63" i="2"/>
  <c r="M63" i="2"/>
  <c r="O62" i="2"/>
  <c r="N62" i="2"/>
  <c r="M62" i="2"/>
  <c r="O61" i="2"/>
  <c r="N61" i="2"/>
  <c r="M61" i="2"/>
  <c r="O60" i="2"/>
  <c r="N60" i="2"/>
  <c r="M60" i="2"/>
  <c r="O59" i="2"/>
  <c r="N59" i="2"/>
  <c r="M59" i="2"/>
  <c r="O58" i="2"/>
  <c r="N58" i="2"/>
  <c r="M58" i="2"/>
  <c r="O57" i="2"/>
  <c r="N57" i="2"/>
  <c r="M57" i="2"/>
  <c r="O56" i="2"/>
  <c r="N56" i="2"/>
  <c r="M56" i="2"/>
  <c r="O55" i="2"/>
  <c r="N55" i="2"/>
  <c r="M55" i="2"/>
  <c r="O54" i="2"/>
  <c r="N54" i="2"/>
  <c r="M54" i="2"/>
  <c r="O53" i="2"/>
  <c r="N53" i="2"/>
  <c r="M53" i="2"/>
  <c r="O52" i="2"/>
  <c r="N52" i="2"/>
  <c r="M52" i="2"/>
  <c r="O51" i="2"/>
  <c r="N51" i="2"/>
  <c r="M51" i="2"/>
  <c r="O50" i="2"/>
  <c r="N50" i="2"/>
  <c r="M50" i="2"/>
  <c r="O49" i="2"/>
  <c r="N49" i="2"/>
  <c r="M49" i="2"/>
  <c r="O48" i="2"/>
  <c r="N48" i="2"/>
  <c r="M48" i="2"/>
  <c r="O47" i="2"/>
  <c r="N47" i="2"/>
  <c r="M47" i="2"/>
  <c r="O46" i="2"/>
  <c r="N46" i="2"/>
  <c r="M46" i="2"/>
  <c r="O45" i="2"/>
  <c r="N45" i="2"/>
  <c r="M45" i="2"/>
  <c r="O44" i="2"/>
  <c r="N44" i="2"/>
  <c r="M44" i="2"/>
  <c r="O43" i="2"/>
  <c r="N43" i="2"/>
  <c r="M43" i="2"/>
  <c r="O42" i="2"/>
  <c r="N42" i="2"/>
  <c r="M42" i="2"/>
  <c r="O41" i="2"/>
  <c r="N41" i="2"/>
  <c r="M41" i="2"/>
  <c r="O40" i="2"/>
  <c r="N40" i="2"/>
  <c r="M40" i="2"/>
  <c r="O39" i="2"/>
  <c r="N39" i="2"/>
  <c r="M39" i="2"/>
  <c r="O38" i="2"/>
  <c r="N38" i="2"/>
  <c r="M38" i="2"/>
  <c r="O37" i="2"/>
  <c r="N37" i="2"/>
  <c r="M37" i="2"/>
  <c r="O36" i="2"/>
  <c r="N36" i="2"/>
  <c r="M36" i="2"/>
  <c r="O35" i="2"/>
  <c r="N35" i="2"/>
  <c r="M35" i="2"/>
  <c r="O34" i="2"/>
  <c r="N34" i="2"/>
  <c r="M34" i="2"/>
  <c r="O33" i="2"/>
  <c r="N33" i="2"/>
  <c r="M33" i="2"/>
  <c r="O32" i="2"/>
  <c r="N32" i="2"/>
  <c r="M32" i="2"/>
  <c r="O31" i="2"/>
  <c r="N31" i="2"/>
  <c r="M31" i="2"/>
  <c r="O30" i="2"/>
  <c r="N30" i="2"/>
  <c r="M30" i="2"/>
  <c r="O29" i="2"/>
  <c r="N29" i="2"/>
  <c r="M29" i="2"/>
  <c r="O28" i="2"/>
  <c r="N28" i="2"/>
  <c r="M28" i="2"/>
  <c r="O27" i="2"/>
  <c r="N27" i="2"/>
  <c r="M27" i="2"/>
  <c r="O26" i="2"/>
  <c r="N26" i="2"/>
  <c r="M26" i="2"/>
  <c r="O25" i="2"/>
  <c r="N25" i="2"/>
  <c r="M25" i="2"/>
  <c r="O24" i="2"/>
  <c r="N24" i="2"/>
  <c r="M24" i="2"/>
  <c r="O23" i="2"/>
  <c r="N23" i="2"/>
  <c r="M23" i="2"/>
  <c r="O22" i="2"/>
  <c r="N22" i="2"/>
  <c r="M22" i="2"/>
  <c r="O21" i="2"/>
  <c r="N21" i="2"/>
  <c r="M21" i="2"/>
  <c r="O20" i="2"/>
  <c r="N20" i="2"/>
  <c r="M20" i="2"/>
  <c r="O19" i="2"/>
  <c r="N19" i="2"/>
  <c r="M19" i="2"/>
  <c r="O18" i="2"/>
  <c r="N18" i="2"/>
  <c r="M18" i="2"/>
  <c r="O17" i="2"/>
  <c r="N17" i="2"/>
  <c r="M17" i="2"/>
  <c r="O16" i="2"/>
  <c r="N16" i="2"/>
  <c r="M16" i="2"/>
  <c r="O15" i="2"/>
  <c r="N15" i="2"/>
  <c r="M15" i="2"/>
  <c r="O14" i="2"/>
  <c r="N14" i="2"/>
  <c r="M14" i="2"/>
  <c r="O13" i="2"/>
  <c r="N13" i="2"/>
  <c r="M13" i="2"/>
  <c r="O12" i="2"/>
  <c r="N12" i="2"/>
  <c r="M12" i="2"/>
  <c r="O11" i="2"/>
  <c r="N11" i="2"/>
  <c r="M11" i="2"/>
  <c r="O10" i="2"/>
  <c r="N10" i="2"/>
  <c r="M10" i="2"/>
  <c r="O9" i="2"/>
  <c r="N9" i="2"/>
  <c r="M9" i="2"/>
  <c r="O8" i="2"/>
  <c r="N8" i="2"/>
  <c r="M8" i="2"/>
  <c r="O7" i="2"/>
  <c r="N7" i="2"/>
  <c r="M7" i="2"/>
  <c r="O6" i="2"/>
  <c r="N6" i="2"/>
  <c r="M6" i="2"/>
  <c r="O5" i="2"/>
  <c r="N5" i="2"/>
  <c r="M5" i="2"/>
  <c r="O4" i="2"/>
  <c r="N4" i="2"/>
  <c r="M4" i="2"/>
  <c r="O3" i="2"/>
  <c r="N3" i="2"/>
  <c r="M3" i="2"/>
  <c r="O2" i="2"/>
  <c r="N2" i="2"/>
  <c r="M2" i="2"/>
  <c r="I6" i="3" l="1"/>
  <c r="E5" i="3"/>
  <c r="E6" i="3"/>
  <c r="I2" i="3"/>
  <c r="I8" i="3"/>
  <c r="E7" i="3"/>
</calcChain>
</file>

<file path=xl/sharedStrings.xml><?xml version="1.0" encoding="utf-8"?>
<sst xmlns="http://schemas.openxmlformats.org/spreadsheetml/2006/main" count="2850" uniqueCount="265">
  <si>
    <t>Expense_ID</t>
  </si>
  <si>
    <t>Expense_Date</t>
  </si>
  <si>
    <t>Category</t>
  </si>
  <si>
    <t>Description</t>
  </si>
  <si>
    <t>Payment_Mode</t>
  </si>
  <si>
    <t>Amount</t>
  </si>
  <si>
    <t>Subcategory</t>
  </si>
  <si>
    <t>Location</t>
  </si>
  <si>
    <t>Recurring</t>
  </si>
  <si>
    <t>Vendor</t>
  </si>
  <si>
    <t>Payment_Status</t>
  </si>
  <si>
    <t>Notes</t>
  </si>
  <si>
    <t>Shopping</t>
  </si>
  <si>
    <t>Medical</t>
  </si>
  <si>
    <t>Food</t>
  </si>
  <si>
    <t>Utilities</t>
  </si>
  <si>
    <t>Travel</t>
  </si>
  <si>
    <t>Rent</t>
  </si>
  <si>
    <t>Entertainment</t>
  </si>
  <si>
    <t>Sample expense 1</t>
  </si>
  <si>
    <t>Sample expense 2</t>
  </si>
  <si>
    <t>Sample expense 3</t>
  </si>
  <si>
    <t>Sample expense 4</t>
  </si>
  <si>
    <t>Sample expense 5</t>
  </si>
  <si>
    <t>Sample expense 6</t>
  </si>
  <si>
    <t>Sample expense 7</t>
  </si>
  <si>
    <t>Sample expense 8</t>
  </si>
  <si>
    <t>Sample expense 9</t>
  </si>
  <si>
    <t>Sample expense 10</t>
  </si>
  <si>
    <t>Sample expense 11</t>
  </si>
  <si>
    <t>Sample expense 12</t>
  </si>
  <si>
    <t>Sample expense 13</t>
  </si>
  <si>
    <t>Sample expense 14</t>
  </si>
  <si>
    <t>Sample expense 15</t>
  </si>
  <si>
    <t>Sample expense 16</t>
  </si>
  <si>
    <t>Sample expense 17</t>
  </si>
  <si>
    <t>Sample expense 18</t>
  </si>
  <si>
    <t>Sample expense 19</t>
  </si>
  <si>
    <t>Sample expense 20</t>
  </si>
  <si>
    <t>Sample expense 21</t>
  </si>
  <si>
    <t>Sample expense 22</t>
  </si>
  <si>
    <t>Sample expense 23</t>
  </si>
  <si>
    <t>Sample expense 24</t>
  </si>
  <si>
    <t>Sample expense 25</t>
  </si>
  <si>
    <t>Sample expense 26</t>
  </si>
  <si>
    <t>Sample expense 27</t>
  </si>
  <si>
    <t>Sample expense 28</t>
  </si>
  <si>
    <t>Sample expense 29</t>
  </si>
  <si>
    <t>Sample expense 30</t>
  </si>
  <si>
    <t>Sample expense 31</t>
  </si>
  <si>
    <t>Sample expense 32</t>
  </si>
  <si>
    <t>Sample expense 33</t>
  </si>
  <si>
    <t>Sample expense 34</t>
  </si>
  <si>
    <t>Sample expense 35</t>
  </si>
  <si>
    <t>Sample expense 36</t>
  </si>
  <si>
    <t>Sample expense 37</t>
  </si>
  <si>
    <t>Sample expense 38</t>
  </si>
  <si>
    <t>Sample expense 39</t>
  </si>
  <si>
    <t>Sample expense 40</t>
  </si>
  <si>
    <t>Sample expense 41</t>
  </si>
  <si>
    <t>Sample expense 42</t>
  </si>
  <si>
    <t>Sample expense 43</t>
  </si>
  <si>
    <t>Sample expense 44</t>
  </si>
  <si>
    <t>Sample expense 45</t>
  </si>
  <si>
    <t>Sample expense 46</t>
  </si>
  <si>
    <t>Sample expense 47</t>
  </si>
  <si>
    <t>Sample expense 48</t>
  </si>
  <si>
    <t>Sample expense 49</t>
  </si>
  <si>
    <t>Sample expense 50</t>
  </si>
  <si>
    <t>Sample expense 51</t>
  </si>
  <si>
    <t>Sample expense 52</t>
  </si>
  <si>
    <t>Sample expense 53</t>
  </si>
  <si>
    <t>Sample expense 54</t>
  </si>
  <si>
    <t>Sample expense 55</t>
  </si>
  <si>
    <t>Sample expense 56</t>
  </si>
  <si>
    <t>Sample expense 57</t>
  </si>
  <si>
    <t>Sample expense 58</t>
  </si>
  <si>
    <t>Sample expense 59</t>
  </si>
  <si>
    <t>Sample expense 60</t>
  </si>
  <si>
    <t>Sample expense 61</t>
  </si>
  <si>
    <t>Sample expense 62</t>
  </si>
  <si>
    <t>Sample expense 63</t>
  </si>
  <si>
    <t>Sample expense 64</t>
  </si>
  <si>
    <t>Sample expense 65</t>
  </si>
  <si>
    <t>Sample expense 66</t>
  </si>
  <si>
    <t>Sample expense 67</t>
  </si>
  <si>
    <t>Sample expense 68</t>
  </si>
  <si>
    <t>Sample expense 69</t>
  </si>
  <si>
    <t>Sample expense 70</t>
  </si>
  <si>
    <t>Sample expense 71</t>
  </si>
  <si>
    <t>Sample expense 72</t>
  </si>
  <si>
    <t>Sample expense 73</t>
  </si>
  <si>
    <t>Sample expense 74</t>
  </si>
  <si>
    <t>Sample expense 75</t>
  </si>
  <si>
    <t>Sample expense 76</t>
  </si>
  <si>
    <t>Sample expense 77</t>
  </si>
  <si>
    <t>Sample expense 78</t>
  </si>
  <si>
    <t>Sample expense 79</t>
  </si>
  <si>
    <t>Sample expense 80</t>
  </si>
  <si>
    <t>Sample expense 81</t>
  </si>
  <si>
    <t>Sample expense 82</t>
  </si>
  <si>
    <t>Sample expense 83</t>
  </si>
  <si>
    <t>Sample expense 84</t>
  </si>
  <si>
    <t>Sample expense 85</t>
  </si>
  <si>
    <t>Sample expense 86</t>
  </si>
  <si>
    <t>Sample expense 87</t>
  </si>
  <si>
    <t>Sample expense 88</t>
  </si>
  <si>
    <t>Sample expense 89</t>
  </si>
  <si>
    <t>Sample expense 90</t>
  </si>
  <si>
    <t>Sample expense 91</t>
  </si>
  <si>
    <t>Sample expense 92</t>
  </si>
  <si>
    <t>Sample expense 93</t>
  </si>
  <si>
    <t>Sample expense 94</t>
  </si>
  <si>
    <t>Sample expense 95</t>
  </si>
  <si>
    <t>Sample expense 96</t>
  </si>
  <si>
    <t>Sample expense 97</t>
  </si>
  <si>
    <t>Sample expense 98</t>
  </si>
  <si>
    <t>Sample expense 99</t>
  </si>
  <si>
    <t>Sample expense 100</t>
  </si>
  <si>
    <t>Sample expense 101</t>
  </si>
  <si>
    <t>Sample expense 102</t>
  </si>
  <si>
    <t>Sample expense 103</t>
  </si>
  <si>
    <t>Sample expense 104</t>
  </si>
  <si>
    <t>Sample expense 105</t>
  </si>
  <si>
    <t>Sample expense 106</t>
  </si>
  <si>
    <t>Sample expense 107</t>
  </si>
  <si>
    <t>Sample expense 108</t>
  </si>
  <si>
    <t>Sample expense 109</t>
  </si>
  <si>
    <t>Sample expense 110</t>
  </si>
  <si>
    <t>Sample expense 111</t>
  </si>
  <si>
    <t>Sample expense 112</t>
  </si>
  <si>
    <t>Sample expense 113</t>
  </si>
  <si>
    <t>Sample expense 114</t>
  </si>
  <si>
    <t>Sample expense 115</t>
  </si>
  <si>
    <t>Sample expense 116</t>
  </si>
  <si>
    <t>Sample expense 117</t>
  </si>
  <si>
    <t>Sample expense 118</t>
  </si>
  <si>
    <t>Sample expense 119</t>
  </si>
  <si>
    <t>Sample expense 120</t>
  </si>
  <si>
    <t>Sample expense 121</t>
  </si>
  <si>
    <t>Sample expense 122</t>
  </si>
  <si>
    <t>Sample expense 123</t>
  </si>
  <si>
    <t>Sample expense 124</t>
  </si>
  <si>
    <t>Sample expense 125</t>
  </si>
  <si>
    <t>Sample expense 126</t>
  </si>
  <si>
    <t>Sample expense 127</t>
  </si>
  <si>
    <t>Sample expense 128</t>
  </si>
  <si>
    <t>Sample expense 129</t>
  </si>
  <si>
    <t>Sample expense 130</t>
  </si>
  <si>
    <t>Sample expense 131</t>
  </si>
  <si>
    <t>Sample expense 132</t>
  </si>
  <si>
    <t>Sample expense 133</t>
  </si>
  <si>
    <t>Sample expense 134</t>
  </si>
  <si>
    <t>Sample expense 135</t>
  </si>
  <si>
    <t>Sample expense 136</t>
  </si>
  <si>
    <t>Sample expense 137</t>
  </si>
  <si>
    <t>Sample expense 138</t>
  </si>
  <si>
    <t>Sample expense 139</t>
  </si>
  <si>
    <t>Sample expense 140</t>
  </si>
  <si>
    <t>Sample expense 141</t>
  </si>
  <si>
    <t>Sample expense 142</t>
  </si>
  <si>
    <t>Sample expense 143</t>
  </si>
  <si>
    <t>Sample expense 144</t>
  </si>
  <si>
    <t>Sample expense 145</t>
  </si>
  <si>
    <t>Sample expense 146</t>
  </si>
  <si>
    <t>Sample expense 147</t>
  </si>
  <si>
    <t>Sample expense 148</t>
  </si>
  <si>
    <t>Sample expense 149</t>
  </si>
  <si>
    <t>Sample expense 150</t>
  </si>
  <si>
    <t>Card</t>
  </si>
  <si>
    <t>UPI</t>
  </si>
  <si>
    <t>Cash</t>
  </si>
  <si>
    <t>Electronics</t>
  </si>
  <si>
    <t>Health Insurance</t>
  </si>
  <si>
    <t>Beverages</t>
  </si>
  <si>
    <t>Accessories</t>
  </si>
  <si>
    <t>Pharmacy</t>
  </si>
  <si>
    <t>Internet</t>
  </si>
  <si>
    <t>Electricity</t>
  </si>
  <si>
    <t>Taxi</t>
  </si>
  <si>
    <t>Storage</t>
  </si>
  <si>
    <t>Subscription</t>
  </si>
  <si>
    <t>Groceries</t>
  </si>
  <si>
    <t>Restaurant</t>
  </si>
  <si>
    <t>Flight</t>
  </si>
  <si>
    <t>Gas</t>
  </si>
  <si>
    <t>Clothes</t>
  </si>
  <si>
    <t>Fuel</t>
  </si>
  <si>
    <t>Doctor</t>
  </si>
  <si>
    <t>Snacks</t>
  </si>
  <si>
    <t>Train</t>
  </si>
  <si>
    <t>Movies</t>
  </si>
  <si>
    <t>Hospital</t>
  </si>
  <si>
    <t>Apartment</t>
  </si>
  <si>
    <t>Water</t>
  </si>
  <si>
    <t>Concert</t>
  </si>
  <si>
    <t>Bus</t>
  </si>
  <si>
    <t>Office</t>
  </si>
  <si>
    <t>Games</t>
  </si>
  <si>
    <t>Home Decor</t>
  </si>
  <si>
    <t>New York</t>
  </si>
  <si>
    <t>Chicago</t>
  </si>
  <si>
    <t>Phoenix</t>
  </si>
  <si>
    <t>Houston</t>
  </si>
  <si>
    <t>Miami</t>
  </si>
  <si>
    <t>Los Angeles</t>
  </si>
  <si>
    <t>Yes</t>
  </si>
  <si>
    <t>No</t>
  </si>
  <si>
    <t>Macy's</t>
  </si>
  <si>
    <t>Walgreens</t>
  </si>
  <si>
    <t>Walmart</t>
  </si>
  <si>
    <t>Verizon</t>
  </si>
  <si>
    <t>ComEd</t>
  </si>
  <si>
    <t>City Water</t>
  </si>
  <si>
    <t>GasCo</t>
  </si>
  <si>
    <t>City Hospital</t>
  </si>
  <si>
    <t>HealthCare Inc</t>
  </si>
  <si>
    <t>Shell Fuel</t>
  </si>
  <si>
    <t>ABC Realty</t>
  </si>
  <si>
    <t>PlayStation Store</t>
  </si>
  <si>
    <t>Domino's</t>
  </si>
  <si>
    <t>AMC</t>
  </si>
  <si>
    <t>Subway</t>
  </si>
  <si>
    <t>Delta Airlines</t>
  </si>
  <si>
    <t>CVS</t>
  </si>
  <si>
    <t>Starbucks</t>
  </si>
  <si>
    <t>Amazon</t>
  </si>
  <si>
    <t>Netflix</t>
  </si>
  <si>
    <t>Greyhound</t>
  </si>
  <si>
    <t>Target</t>
  </si>
  <si>
    <t>Uber</t>
  </si>
  <si>
    <t>HomeStay</t>
  </si>
  <si>
    <t>OfficeLease</t>
  </si>
  <si>
    <t>Best Buy</t>
  </si>
  <si>
    <t>Spotify</t>
  </si>
  <si>
    <t>Paid</t>
  </si>
  <si>
    <t>Pending</t>
  </si>
  <si>
    <t>-</t>
  </si>
  <si>
    <t>Month</t>
  </si>
  <si>
    <t>YEAR</t>
  </si>
  <si>
    <t>Hgh-Value-Flag</t>
  </si>
  <si>
    <t>Total Expense</t>
  </si>
  <si>
    <t>November</t>
  </si>
  <si>
    <t>January</t>
  </si>
  <si>
    <t>October</t>
  </si>
  <si>
    <t>August</t>
  </si>
  <si>
    <t>December</t>
  </si>
  <si>
    <t>September</t>
  </si>
  <si>
    <t>July</t>
  </si>
  <si>
    <t>Monthly Total</t>
  </si>
  <si>
    <t>Monthly %</t>
  </si>
  <si>
    <t>Monthly Expences Calculation</t>
  </si>
  <si>
    <t>Total Expences</t>
  </si>
  <si>
    <t>% of Share</t>
  </si>
  <si>
    <t>Category wise Expense Calculation</t>
  </si>
  <si>
    <t>Total Spend</t>
  </si>
  <si>
    <t>Payment mode analysis</t>
  </si>
  <si>
    <t>Cumulative Expences</t>
  </si>
  <si>
    <t>High value Transactions</t>
  </si>
  <si>
    <t>Row Labels</t>
  </si>
  <si>
    <t>Sum of Amount</t>
  </si>
  <si>
    <t>Grand Total</t>
  </si>
  <si>
    <t>Count of Expense_ID</t>
  </si>
  <si>
    <t>Column Labels</t>
  </si>
  <si>
    <t>Average monthly calculations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</si>
</sst>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quot;₹&quot;\ #,##0.00"/>
  </numFmts>
  <fonts count="5" x14ac:knownFonts="1">
    <font>
      <sz val="11"/>
      <color theme="1"/>
      <name val="Calibri"/>
      <family val="2"/>
      <scheme val="minor"/>
    </font>
    <font>
      <b/>
      <sz val="11"/>
      <color theme="1"/>
      <name val="Calibri"/>
      <family val="2"/>
      <scheme val="minor"/>
    </font>
    <font>
      <sz val="11"/>
      <color rgb="FFFF0000"/>
      <name val="Calibri"/>
      <family val="2"/>
      <scheme val="minor"/>
    </font>
    <font>
      <sz val="11"/>
      <name val="Calibri"/>
      <family val="2"/>
      <scheme val="minor"/>
    </font>
    <font>
      <b/>
      <sz val="11"/>
      <color rgb="FFFF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6">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Alignment="1">
      <alignment horizontal="center"/>
    </xf>
    <xf numFmtId="14" fontId="1" fillId="0" borderId="1" xfId="0" applyNumberFormat="1" applyFont="1" applyFill="1" applyBorder="1" applyAlignment="1">
      <alignment horizontal="center" vertical="top"/>
    </xf>
    <xf numFmtId="14" fontId="0" fillId="0" borderId="0" xfId="0" applyNumberFormat="1" applyFill="1" applyAlignment="1">
      <alignment horizontal="center"/>
    </xf>
    <xf numFmtId="2" fontId="1" fillId="0" borderId="1" xfId="0" applyNumberFormat="1" applyFont="1" applyBorder="1" applyAlignment="1">
      <alignment horizontal="center" vertical="top"/>
    </xf>
    <xf numFmtId="2" fontId="0" fillId="0" borderId="0" xfId="0" applyNumberFormat="1" applyAlignment="1">
      <alignment horizontal="center"/>
    </xf>
    <xf numFmtId="2" fontId="0" fillId="0" borderId="0" xfId="0" applyNumberFormat="1"/>
    <xf numFmtId="0" fontId="2" fillId="0" borderId="0" xfId="0" applyFont="1"/>
    <xf numFmtId="0" fontId="0" fillId="0" borderId="0" xfId="0" applyNumberFormat="1"/>
    <xf numFmtId="0" fontId="1" fillId="0" borderId="0" xfId="0" applyFont="1"/>
    <xf numFmtId="0" fontId="3" fillId="0" borderId="0" xfId="0" applyFont="1"/>
    <xf numFmtId="10" fontId="0" fillId="0" borderId="0" xfId="0" applyNumberFormat="1"/>
    <xf numFmtId="0" fontId="4" fillId="0" borderId="1" xfId="0" applyFont="1" applyBorder="1" applyAlignment="1">
      <alignment horizontal="center" vertical="top"/>
    </xf>
    <xf numFmtId="0" fontId="0" fillId="0" borderId="0" xfId="0" applyAlignment="1">
      <alignment horizontal="center"/>
    </xf>
    <xf numFmtId="0" fontId="2" fillId="0" borderId="0" xfId="0" applyFont="1" applyAlignment="1">
      <alignment horizontal="center"/>
    </xf>
    <xf numFmtId="0" fontId="0" fillId="0" borderId="0" xfId="0" applyAlignment="1">
      <alignment horizontal="left"/>
    </xf>
    <xf numFmtId="0" fontId="0" fillId="0" borderId="0" xfId="0" applyAlignment="1"/>
    <xf numFmtId="14" fontId="4" fillId="0" borderId="1" xfId="0" applyNumberFormat="1" applyFont="1" applyFill="1" applyBorder="1" applyAlignment="1">
      <alignment horizontal="center" vertical="top"/>
    </xf>
    <xf numFmtId="0" fontId="0" fillId="0" borderId="0" xfId="0" applyNumberFormat="1" applyAlignment="1">
      <alignment horizontal="center"/>
    </xf>
    <xf numFmtId="0" fontId="0" fillId="0" borderId="0" xfId="0" pivotButton="1"/>
    <xf numFmtId="0" fontId="0" fillId="0" borderId="0" xfId="0" pivotButton="1" applyAlignment="1">
      <alignment horizontal="center"/>
    </xf>
    <xf numFmtId="165" fontId="0" fillId="0" borderId="0" xfId="0" applyNumberFormat="1"/>
    <xf numFmtId="165" fontId="3" fillId="0" borderId="0" xfId="0" applyNumberFormat="1" applyFont="1"/>
    <xf numFmtId="0" fontId="0" fillId="0" borderId="0" xfId="0" applyAlignment="1">
      <alignment horizontal="center"/>
    </xf>
  </cellXfs>
  <cellStyles count="1">
    <cellStyle name="Normal" xfId="0" builtinId="0"/>
  </cellStyles>
  <dxfs count="47">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19" formatCode="dd/mm/yyyy"/>
      <fill>
        <patternFill patternType="none">
          <fgColor indexed="64"/>
          <bgColor indexed="65"/>
        </patternFill>
      </fill>
      <alignment horizontal="center" vertical="bottom" textRotation="0" wrapText="0" indent="0" justifyLastLine="0" shrinkToFit="0" readingOrder="0"/>
    </dxf>
    <dxf>
      <numFmt numFmtId="165" formatCode="&quot;₹&quot;\ #,##0.00"/>
    </dxf>
    <dxf>
      <alignment horizontal="center" vertical="bottom" textRotation="0" wrapText="0" indent="0" justifyLastLine="0" shrinkToFit="0" readingOrder="0"/>
    </dxf>
    <dxf>
      <numFmt numFmtId="14" formatCode="0.00%"/>
    </dxf>
    <dxf>
      <numFmt numFmtId="165" formatCode="&quot;₹&quot;\ #,##0.00"/>
    </dxf>
    <dxf>
      <alignment horizontal="center" vertical="bottom" textRotation="0" wrapText="0" indent="0" justifyLastLine="0" shrinkToFit="0" readingOrder="0"/>
    </dxf>
    <dxf>
      <numFmt numFmtId="14" formatCode="0.00%"/>
    </dxf>
    <dxf>
      <font>
        <b val="0"/>
        <i val="0"/>
        <strike val="0"/>
        <condense val="0"/>
        <extend val="0"/>
        <outline val="0"/>
        <shadow val="0"/>
        <u val="none"/>
        <vertAlign val="baseline"/>
        <sz val="11"/>
        <color auto="1"/>
        <name val="Calibri"/>
        <family val="2"/>
        <scheme val="minor"/>
      </font>
      <numFmt numFmtId="165" formatCode="&quot;₹&quot;\ #,##0.00"/>
    </dxf>
    <dxf>
      <font>
        <b val="0"/>
        <i val="0"/>
        <strike val="0"/>
        <condense val="0"/>
        <extend val="0"/>
        <outline val="0"/>
        <shadow val="0"/>
        <u val="none"/>
        <vertAlign val="baseline"/>
        <sz val="11"/>
        <color rgb="FFFF0000"/>
        <name val="Calibri"/>
        <family val="2"/>
        <scheme val="minor"/>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fill>
        <patternFill patternType="none">
          <fgColor indexed="64"/>
          <bgColor indexed="65"/>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4.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2 for me.xlsx]created pivot tables!PivotTable1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'created pivot tables'!$S$6</c:f>
              <c:strCache>
                <c:ptCount val="1"/>
                <c:pt idx="0">
                  <c:v>Total</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'created pivot tables'!$R$7:$R$11</c:f>
              <c:strCache>
                <c:ptCount val="4"/>
                <c:pt idx="0">
                  <c:v>Concert</c:v>
                </c:pt>
                <c:pt idx="1">
                  <c:v>Games</c:v>
                </c:pt>
                <c:pt idx="2">
                  <c:v>Movies</c:v>
                </c:pt>
                <c:pt idx="3">
                  <c:v>Subscription</c:v>
                </c:pt>
              </c:strCache>
            </c:strRef>
          </c:cat>
          <c:val>
            <c:numRef>
              <c:f>'created pivot tables'!$S$7:$S$11</c:f>
              <c:numCache>
                <c:formatCode>General</c:formatCode>
                <c:ptCount val="4"/>
                <c:pt idx="0">
                  <c:v>15332.98</c:v>
                </c:pt>
                <c:pt idx="1">
                  <c:v>7446.52</c:v>
                </c:pt>
                <c:pt idx="2">
                  <c:v>18350.73</c:v>
                </c:pt>
                <c:pt idx="3">
                  <c:v>12823.49</c:v>
                </c:pt>
              </c:numCache>
            </c:numRef>
          </c:val>
          <c:smooth val="0"/>
          <c:extLst>
            <c:ext xmlns:c16="http://schemas.microsoft.com/office/drawing/2014/chart" uri="{C3380CC4-5D6E-409C-BE32-E72D297353CC}">
              <c16:uniqueId val="{00000000-9920-4309-87DD-A025C2AECBF4}"/>
            </c:ext>
          </c:extLst>
        </c:ser>
        <c:dLbls>
          <c:dLblPos val="ctr"/>
          <c:showLegendKey val="0"/>
          <c:showVal val="1"/>
          <c:showCatName val="0"/>
          <c:showSerName val="0"/>
          <c:showPercent val="0"/>
          <c:showBubbleSize val="0"/>
        </c:dLbls>
        <c:marker val="1"/>
        <c:smooth val="0"/>
        <c:axId val="666464560"/>
        <c:axId val="848289600"/>
      </c:lineChart>
      <c:catAx>
        <c:axId val="666464560"/>
        <c:scaling>
          <c:orientation val="minMax"/>
        </c:scaling>
        <c:delete val="0"/>
        <c:axPos val="b"/>
        <c:numFmt formatCode="General" sourceLinked="0"/>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8289600"/>
        <c:crosses val="autoZero"/>
        <c:auto val="1"/>
        <c:lblAlgn val="ctr"/>
        <c:lblOffset val="100"/>
        <c:noMultiLvlLbl val="0"/>
      </c:catAx>
      <c:valAx>
        <c:axId val="848289600"/>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666464560"/>
        <c:crossesAt val="1"/>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for me.xlsx]created pivot tables!Monthly expense summary</c:name>
    <c:fmtId val="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100">
                <a:solidFill>
                  <a:sysClr val="windowText" lastClr="000000"/>
                </a:solidFill>
              </a:rPr>
              <a:t>EXPENCES</a:t>
            </a:r>
            <a:r>
              <a:rPr lang="en-IN" sz="1100" baseline="0">
                <a:solidFill>
                  <a:sysClr val="windowText" lastClr="000000"/>
                </a:solidFill>
              </a:rPr>
              <a:t> BY MONTH</a:t>
            </a:r>
            <a:endParaRPr lang="en-IN" sz="1100">
              <a:solidFill>
                <a:sysClr val="windowText" lastClr="000000"/>
              </a:solidFill>
            </a:endParaRPr>
          </a:p>
        </c:rich>
      </c:tx>
      <c:layout>
        <c:manualLayout>
          <c:xMode val="edge"/>
          <c:yMode val="edge"/>
          <c:x val="2.0958707756085389E-2"/>
          <c:y val="3.15151465020048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lumMod val="75000"/>
            </a:schemeClr>
          </a:solidFill>
          <a:ln>
            <a:solidFill>
              <a:schemeClr val="accent3">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'created pivot tables'!$B$3</c:f>
              <c:strCache>
                <c:ptCount val="1"/>
                <c:pt idx="0">
                  <c:v>Total</c:v>
                </c:pt>
              </c:strCache>
            </c:strRef>
          </c:tx>
          <c:spPr>
            <a:solidFill>
              <a:schemeClr val="accent2">
                <a:lumMod val="75000"/>
              </a:schemeClr>
            </a:solidFill>
            <a:ln>
              <a:solidFill>
                <a:schemeClr val="accent3">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'created pivot tables'!$A$4:$A$11</c:f>
              <c:strCache>
                <c:ptCount val="7"/>
                <c:pt idx="0">
                  <c:v>January</c:v>
                </c:pt>
                <c:pt idx="1">
                  <c:v>July</c:v>
                </c:pt>
                <c:pt idx="2">
                  <c:v>August</c:v>
                </c:pt>
                <c:pt idx="3">
                  <c:v>September</c:v>
                </c:pt>
                <c:pt idx="4">
                  <c:v>October</c:v>
                </c:pt>
                <c:pt idx="5">
                  <c:v>November</c:v>
                </c:pt>
                <c:pt idx="6">
                  <c:v>December</c:v>
                </c:pt>
              </c:strCache>
            </c:strRef>
          </c:cat>
          <c:val>
            <c:numRef>
              <c:f>'created pivot tables'!$B$4:$B$11</c:f>
              <c:numCache>
                <c:formatCode>General</c:formatCode>
                <c:ptCount val="7"/>
                <c:pt idx="0">
                  <c:v>28485.579999999994</c:v>
                </c:pt>
                <c:pt idx="1">
                  <c:v>16873.77</c:v>
                </c:pt>
                <c:pt idx="2">
                  <c:v>67939.72</c:v>
                </c:pt>
                <c:pt idx="3">
                  <c:v>79596.039999999979</c:v>
                </c:pt>
                <c:pt idx="4">
                  <c:v>64382.409999999996</c:v>
                </c:pt>
                <c:pt idx="5">
                  <c:v>40165.729999999989</c:v>
                </c:pt>
                <c:pt idx="6">
                  <c:v>75715.97</c:v>
                </c:pt>
              </c:numCache>
            </c:numRef>
          </c:val>
          <c:extLst>
            <c:ext xmlns:c16="http://schemas.microsoft.com/office/drawing/2014/chart" uri="{C3380CC4-5D6E-409C-BE32-E72D297353CC}">
              <c16:uniqueId val="{00000000-189C-48D8-B4D3-33D405CE7FD9}"/>
            </c:ext>
          </c:extLst>
        </c:ser>
        <c:dLbls>
          <c:showLegendKey val="0"/>
          <c:showVal val="1"/>
          <c:showCatName val="0"/>
          <c:showSerName val="0"/>
          <c:showPercent val="0"/>
          <c:showBubbleSize val="0"/>
        </c:dLbls>
        <c:gapWidth val="219"/>
        <c:axId val="1099729328"/>
        <c:axId val="1089127632"/>
      </c:barChart>
      <c:catAx>
        <c:axId val="109972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127632"/>
        <c:crosses val="autoZero"/>
        <c:auto val="1"/>
        <c:lblAlgn val="ctr"/>
        <c:lblOffset val="100"/>
        <c:noMultiLvlLbl val="0"/>
      </c:catAx>
      <c:valAx>
        <c:axId val="1089127632"/>
        <c:scaling>
          <c:orientation val="minMax"/>
        </c:scaling>
        <c:delete val="1"/>
        <c:axPos val="l"/>
        <c:numFmt formatCode="General" sourceLinked="1"/>
        <c:majorTickMark val="none"/>
        <c:minorTickMark val="none"/>
        <c:tickLblPos val="nextTo"/>
        <c:crossAx val="1099729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for me.xlsx]created pivot tables!Payment mode analysis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a:solidFill>
                  <a:schemeClr val="tx1"/>
                </a:solidFill>
              </a:rPr>
              <a:t>EXPENCES</a:t>
            </a:r>
            <a:r>
              <a:rPr lang="en-IN" sz="1000" baseline="0">
                <a:solidFill>
                  <a:schemeClr val="tx1"/>
                </a:solidFill>
              </a:rPr>
              <a:t> BY PAMENT MODE</a:t>
            </a:r>
            <a:endParaRPr lang="en-IN" sz="10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8"/>
          <c:y val="0.23087744240303296"/>
          <c:w val="0.73578937007874012"/>
          <c:h val="0.53774387576552929"/>
        </c:manualLayout>
      </c:layout>
      <c:lineChart>
        <c:grouping val="standard"/>
        <c:varyColors val="0"/>
        <c:ser>
          <c:idx val="0"/>
          <c:order val="0"/>
          <c:tx>
            <c:strRef>
              <c:f>'created pivot tables'!$E$3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'created pivot tables'!$D$4:$D$7</c:f>
              <c:strCache>
                <c:ptCount val="3"/>
                <c:pt idx="0">
                  <c:v>Card</c:v>
                </c:pt>
                <c:pt idx="1">
                  <c:v>Cash</c:v>
                </c:pt>
                <c:pt idx="2">
                  <c:v>UPI</c:v>
                </c:pt>
              </c:strCache>
            </c:strRef>
          </c:cat>
          <c:val>
            <c:numRef>
              <c:f>'created pivot tables'!$E$4:$E$7</c:f>
              <c:numCache>
                <c:formatCode>General</c:formatCode>
                <c:ptCount val="3"/>
                <c:pt idx="0">
                  <c:v>133107.09999999998</c:v>
                </c:pt>
                <c:pt idx="1">
                  <c:v>125129.29</c:v>
                </c:pt>
                <c:pt idx="2">
                  <c:v>114922.82999999997</c:v>
                </c:pt>
              </c:numCache>
            </c:numRef>
          </c:val>
          <c:smooth val="0"/>
          <c:extLst>
            <c:ext xmlns:c16="http://schemas.microsoft.com/office/drawing/2014/chart" uri="{C3380CC4-5D6E-409C-BE32-E72D297353CC}">
              <c16:uniqueId val="{00000000-5DE4-45C1-A42E-8F70C29A91D4}"/>
            </c:ext>
          </c:extLst>
        </c:ser>
        <c:dLbls>
          <c:showLegendKey val="0"/>
          <c:showVal val="0"/>
          <c:showCatName val="0"/>
          <c:showSerName val="0"/>
          <c:showPercent val="0"/>
          <c:showBubbleSize val="0"/>
        </c:dLbls>
        <c:smooth val="0"/>
        <c:axId val="1146526816"/>
        <c:axId val="1146936624"/>
      </c:lineChart>
      <c:catAx>
        <c:axId val="114652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36624"/>
        <c:crosses val="autoZero"/>
        <c:auto val="1"/>
        <c:lblAlgn val="ctr"/>
        <c:lblOffset val="100"/>
        <c:noMultiLvlLbl val="0"/>
      </c:catAx>
      <c:valAx>
        <c:axId val="1146936624"/>
        <c:scaling>
          <c:orientation val="minMax"/>
        </c:scaling>
        <c:delete val="1"/>
        <c:axPos val="l"/>
        <c:numFmt formatCode="General" sourceLinked="1"/>
        <c:majorTickMark val="none"/>
        <c:minorTickMark val="none"/>
        <c:tickLblPos val="nextTo"/>
        <c:crossAx val="1146526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for me.xlsx]created pivot tables!PivotTable11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ysClr val="windowText" lastClr="000000"/>
                </a:solidFill>
              </a:rPr>
              <a:t>EXPENCES</a:t>
            </a:r>
            <a:r>
              <a:rPr lang="en-US" sz="1100" baseline="0">
                <a:solidFill>
                  <a:sysClr val="windowText" lastClr="000000"/>
                </a:solidFill>
              </a:rPr>
              <a:t> BY CATEGORY</a:t>
            </a:r>
            <a:endParaRPr lang="en-US" sz="1100">
              <a:solidFill>
                <a:sysClr val="windowText" lastClr="000000"/>
              </a:solidFill>
            </a:endParaRPr>
          </a:p>
        </c:rich>
      </c:tx>
      <c:layout>
        <c:manualLayout>
          <c:xMode val="edge"/>
          <c:yMode val="edge"/>
          <c:x val="2.8934063249223339E-2"/>
          <c:y val="3.84313606819945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'created pivot tables'!$K$3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'created pivot tables'!$J$4:$J$11</c:f>
              <c:strCache>
                <c:ptCount val="7"/>
                <c:pt idx="0">
                  <c:v>Shopping</c:v>
                </c:pt>
                <c:pt idx="1">
                  <c:v>Rent</c:v>
                </c:pt>
                <c:pt idx="2">
                  <c:v>Medical</c:v>
                </c:pt>
                <c:pt idx="3">
                  <c:v>Entertainment</c:v>
                </c:pt>
                <c:pt idx="4">
                  <c:v>Travel</c:v>
                </c:pt>
                <c:pt idx="5">
                  <c:v>Utilities</c:v>
                </c:pt>
                <c:pt idx="6">
                  <c:v>Food</c:v>
                </c:pt>
              </c:strCache>
            </c:strRef>
          </c:cat>
          <c:val>
            <c:numRef>
              <c:f>'created pivot tables'!$K$4:$K$11</c:f>
              <c:numCache>
                <c:formatCode>General</c:formatCode>
                <c:ptCount val="7"/>
                <c:pt idx="0">
                  <c:v>25427.91</c:v>
                </c:pt>
                <c:pt idx="1">
                  <c:v>34284.67</c:v>
                </c:pt>
                <c:pt idx="2">
                  <c:v>51240.790000000008</c:v>
                </c:pt>
                <c:pt idx="3">
                  <c:v>53953.719999999994</c:v>
                </c:pt>
                <c:pt idx="4">
                  <c:v>63013.39</c:v>
                </c:pt>
                <c:pt idx="5">
                  <c:v>65266.479999999989</c:v>
                </c:pt>
                <c:pt idx="6">
                  <c:v>79972.259999999966</c:v>
                </c:pt>
              </c:numCache>
            </c:numRef>
          </c:val>
          <c:extLst>
            <c:ext xmlns:c16="http://schemas.microsoft.com/office/drawing/2014/chart" uri="{C3380CC4-5D6E-409C-BE32-E72D297353CC}">
              <c16:uniqueId val="{00000000-28BE-47EC-823B-014799B17D11}"/>
            </c:ext>
          </c:extLst>
        </c:ser>
        <c:dLbls>
          <c:dLblPos val="outEnd"/>
          <c:showLegendKey val="0"/>
          <c:showVal val="1"/>
          <c:showCatName val="0"/>
          <c:showSerName val="0"/>
          <c:showPercent val="0"/>
          <c:showBubbleSize val="0"/>
        </c:dLbls>
        <c:gapWidth val="182"/>
        <c:axId val="851865696"/>
        <c:axId val="844182096"/>
      </c:barChart>
      <c:catAx>
        <c:axId val="8518656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182096"/>
        <c:crosses val="autoZero"/>
        <c:auto val="1"/>
        <c:lblAlgn val="ctr"/>
        <c:lblOffset val="100"/>
        <c:noMultiLvlLbl val="0"/>
      </c:catAx>
      <c:valAx>
        <c:axId val="844182096"/>
        <c:scaling>
          <c:orientation val="minMax"/>
        </c:scaling>
        <c:delete val="1"/>
        <c:axPos val="b"/>
        <c:numFmt formatCode="General" sourceLinked="1"/>
        <c:majorTickMark val="out"/>
        <c:minorTickMark val="none"/>
        <c:tickLblPos val="nextTo"/>
        <c:crossAx val="851865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2 for me.xlsx]created pivot tables!PivotTable1</c:name>
    <c:fmtId val="2"/>
  </c:pivotSource>
  <c:chart>
    <c:title>
      <c:tx>
        <c:rich>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US" sz="1100"/>
              <a:t>EXPENCES BY SUBCATEGORY</a:t>
            </a:r>
          </a:p>
        </c:rich>
      </c:tx>
      <c:layout>
        <c:manualLayout>
          <c:xMode val="edge"/>
          <c:yMode val="edge"/>
          <c:x val="3.3910696632423319E-2"/>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759577301904121E-2"/>
          <c:y val="0.25351072354522469"/>
          <c:w val="0.91248084539619179"/>
          <c:h val="0.4871525252489064"/>
        </c:manualLayout>
      </c:layout>
      <c:lineChart>
        <c:grouping val="stacked"/>
        <c:varyColors val="0"/>
        <c:ser>
          <c:idx val="0"/>
          <c:order val="0"/>
          <c:tx>
            <c:strRef>
              <c:f>'created pivot tables'!$S$6</c:f>
              <c:strCache>
                <c:ptCount val="1"/>
                <c:pt idx="0">
                  <c:v>Total</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'created pivot tables'!$R$7:$R$11</c:f>
              <c:strCache>
                <c:ptCount val="4"/>
                <c:pt idx="0">
                  <c:v>Concert</c:v>
                </c:pt>
                <c:pt idx="1">
                  <c:v>Games</c:v>
                </c:pt>
                <c:pt idx="2">
                  <c:v>Movies</c:v>
                </c:pt>
                <c:pt idx="3">
                  <c:v>Subscription</c:v>
                </c:pt>
              </c:strCache>
            </c:strRef>
          </c:cat>
          <c:val>
            <c:numRef>
              <c:f>'created pivot tables'!$S$7:$S$11</c:f>
              <c:numCache>
                <c:formatCode>General</c:formatCode>
                <c:ptCount val="4"/>
                <c:pt idx="0">
                  <c:v>15332.98</c:v>
                </c:pt>
                <c:pt idx="1">
                  <c:v>7446.52</c:v>
                </c:pt>
                <c:pt idx="2">
                  <c:v>18350.73</c:v>
                </c:pt>
                <c:pt idx="3">
                  <c:v>12823.49</c:v>
                </c:pt>
              </c:numCache>
            </c:numRef>
          </c:val>
          <c:smooth val="0"/>
          <c:extLst>
            <c:ext xmlns:c16="http://schemas.microsoft.com/office/drawing/2014/chart" uri="{C3380CC4-5D6E-409C-BE32-E72D297353CC}">
              <c16:uniqueId val="{00000000-F924-467A-BB7E-0880068A1E08}"/>
            </c:ext>
          </c:extLst>
        </c:ser>
        <c:dLbls>
          <c:dLblPos val="ctr"/>
          <c:showLegendKey val="0"/>
          <c:showVal val="1"/>
          <c:showCatName val="0"/>
          <c:showSerName val="0"/>
          <c:showPercent val="0"/>
          <c:showBubbleSize val="0"/>
        </c:dLbls>
        <c:marker val="1"/>
        <c:smooth val="0"/>
        <c:axId val="666464560"/>
        <c:axId val="848289600"/>
      </c:lineChart>
      <c:catAx>
        <c:axId val="666464560"/>
        <c:scaling>
          <c:orientation val="minMax"/>
        </c:scaling>
        <c:delete val="0"/>
        <c:axPos val="b"/>
        <c:numFmt formatCode="General" sourceLinked="0"/>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848289600"/>
        <c:crosses val="autoZero"/>
        <c:auto val="1"/>
        <c:lblAlgn val="ctr"/>
        <c:lblOffset val="100"/>
        <c:noMultiLvlLbl val="0"/>
      </c:catAx>
      <c:valAx>
        <c:axId val="848289600"/>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666464560"/>
        <c:crossesAt val="1"/>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a:noFill/>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image" Target="../media/image3.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11</xdr:col>
      <xdr:colOff>342900</xdr:colOff>
      <xdr:row>1</xdr:row>
      <xdr:rowOff>180976</xdr:rowOff>
    </xdr:from>
    <xdr:to>
      <xdr:col>14</xdr:col>
      <xdr:colOff>342900</xdr:colOff>
      <xdr:row>14</xdr:row>
      <xdr:rowOff>28576</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370C1AA8-C50D-49F2-9873-6B5A50FB82D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848850" y="371476"/>
              <a:ext cx="1828800" cy="2324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180975</xdr:colOff>
      <xdr:row>11</xdr:row>
      <xdr:rowOff>66676</xdr:rowOff>
    </xdr:from>
    <xdr:to>
      <xdr:col>2</xdr:col>
      <xdr:colOff>142875</xdr:colOff>
      <xdr:row>17</xdr:row>
      <xdr:rowOff>180976</xdr:rowOff>
    </xdr:to>
    <mc:AlternateContent xmlns:mc="http://schemas.openxmlformats.org/markup-compatibility/2006" xmlns:a14="http://schemas.microsoft.com/office/drawing/2010/main">
      <mc:Choice Requires="a14">
        <xdr:graphicFrame macro="">
          <xdr:nvGraphicFramePr>
            <xdr:cNvPr id="3" name="Payment_Mode">
              <a:extLst>
                <a:ext uri="{FF2B5EF4-FFF2-40B4-BE49-F238E27FC236}">
                  <a16:creationId xmlns:a16="http://schemas.microsoft.com/office/drawing/2014/main" id="{84D73CDE-50BF-4B59-AD40-1FA6AF6DFB92}"/>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80975" y="2162176"/>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314325</xdr:colOff>
      <xdr:row>8</xdr:row>
      <xdr:rowOff>28575</xdr:rowOff>
    </xdr:from>
    <xdr:to>
      <xdr:col>5</xdr:col>
      <xdr:colOff>276225</xdr:colOff>
      <xdr:row>21</xdr:row>
      <xdr:rowOff>76200</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C6FC2064-63EE-4397-AF48-5A5157694CC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790825" y="15525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576260</xdr:colOff>
      <xdr:row>22</xdr:row>
      <xdr:rowOff>152400</xdr:rowOff>
    </xdr:from>
    <xdr:to>
      <xdr:col>28</xdr:col>
      <xdr:colOff>247649</xdr:colOff>
      <xdr:row>37</xdr:row>
      <xdr:rowOff>171450</xdr:rowOff>
    </xdr:to>
    <xdr:graphicFrame macro="">
      <xdr:nvGraphicFramePr>
        <xdr:cNvPr id="9" name="Chart 8">
          <a:extLst>
            <a:ext uri="{FF2B5EF4-FFF2-40B4-BE49-F238E27FC236}">
              <a16:creationId xmlns:a16="http://schemas.microsoft.com/office/drawing/2014/main" id="{D25611CB-563F-4975-80CE-709904FB96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161925</xdr:colOff>
      <xdr:row>12</xdr:row>
      <xdr:rowOff>57150</xdr:rowOff>
    </xdr:from>
    <xdr:to>
      <xdr:col>11</xdr:col>
      <xdr:colOff>66675</xdr:colOff>
      <xdr:row>25</xdr:row>
      <xdr:rowOff>104775</xdr:rowOff>
    </xdr:to>
    <mc:AlternateContent xmlns:mc="http://schemas.openxmlformats.org/markup-compatibility/2006" xmlns:a14="http://schemas.microsoft.com/office/drawing/2010/main">
      <mc:Choice Requires="a14">
        <xdr:graphicFrame macro="">
          <xdr:nvGraphicFramePr>
            <xdr:cNvPr id="10" name="Category 1">
              <a:extLst>
                <a:ext uri="{FF2B5EF4-FFF2-40B4-BE49-F238E27FC236}">
                  <a16:creationId xmlns:a16="http://schemas.microsoft.com/office/drawing/2014/main" id="{4213FD5A-8606-427C-819E-46C66D65E68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743825" y="2343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47625</xdr:colOff>
      <xdr:row>41</xdr:row>
      <xdr:rowOff>47625</xdr:rowOff>
    </xdr:from>
    <xdr:to>
      <xdr:col>26</xdr:col>
      <xdr:colOff>247650</xdr:colOff>
      <xdr:row>54</xdr:row>
      <xdr:rowOff>95250</xdr:rowOff>
    </xdr:to>
    <mc:AlternateContent xmlns:mc="http://schemas.openxmlformats.org/markup-compatibility/2006" xmlns:a14="http://schemas.microsoft.com/office/drawing/2010/main">
      <mc:Choice Requires="a14">
        <xdr:graphicFrame macro="">
          <xdr:nvGraphicFramePr>
            <xdr:cNvPr id="11" name="Subcategory">
              <a:extLst>
                <a:ext uri="{FF2B5EF4-FFF2-40B4-BE49-F238E27FC236}">
                  <a16:creationId xmlns:a16="http://schemas.microsoft.com/office/drawing/2014/main" id="{6DD14A37-B91F-449E-A420-27C85D4740F0}"/>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7354550" y="7858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76200</xdr:colOff>
      <xdr:row>24</xdr:row>
      <xdr:rowOff>188406</xdr:rowOff>
    </xdr:to>
    <xdr:sp macro="" textlink="">
      <xdr:nvSpPr>
        <xdr:cNvPr id="2" name="Rectangle 1">
          <a:extLst>
            <a:ext uri="{FF2B5EF4-FFF2-40B4-BE49-F238E27FC236}">
              <a16:creationId xmlns:a16="http://schemas.microsoft.com/office/drawing/2014/main" id="{4480ACC9-2859-400F-AA6C-BC95F375AA08}"/>
            </a:ext>
          </a:extLst>
        </xdr:cNvPr>
        <xdr:cNvSpPr/>
      </xdr:nvSpPr>
      <xdr:spPr>
        <a:xfrm>
          <a:off x="0" y="0"/>
          <a:ext cx="7968343" cy="4710164"/>
        </a:xfrm>
        <a:prstGeom prst="rect">
          <a:avLst/>
        </a:prstGeom>
        <a:solidFill>
          <a:schemeClr val="accent5">
            <a:lumMod val="5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94202</xdr:colOff>
      <xdr:row>8</xdr:row>
      <xdr:rowOff>177940</xdr:rowOff>
    </xdr:from>
    <xdr:to>
      <xdr:col>2</xdr:col>
      <xdr:colOff>345411</xdr:colOff>
      <xdr:row>11</xdr:row>
      <xdr:rowOff>115138</xdr:rowOff>
    </xdr:to>
    <xdr:sp macro="" textlink="">
      <xdr:nvSpPr>
        <xdr:cNvPr id="11" name="Rectangle: Rounded Corners 10">
          <a:extLst>
            <a:ext uri="{FF2B5EF4-FFF2-40B4-BE49-F238E27FC236}">
              <a16:creationId xmlns:a16="http://schemas.microsoft.com/office/drawing/2014/main" id="{701BDFCA-EFB5-4FD4-8046-0681E39BD11E}"/>
            </a:ext>
          </a:extLst>
        </xdr:cNvPr>
        <xdr:cNvSpPr/>
      </xdr:nvSpPr>
      <xdr:spPr>
        <a:xfrm>
          <a:off x="94202" y="1685193"/>
          <a:ext cx="1465385" cy="502418"/>
        </a:xfrm>
        <a:prstGeom prst="round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188410</xdr:colOff>
      <xdr:row>2</xdr:row>
      <xdr:rowOff>157005</xdr:rowOff>
    </xdr:from>
    <xdr:to>
      <xdr:col>12</xdr:col>
      <xdr:colOff>387282</xdr:colOff>
      <xdr:row>15</xdr:row>
      <xdr:rowOff>0</xdr:rowOff>
    </xdr:to>
    <xdr:graphicFrame macro="">
      <xdr:nvGraphicFramePr>
        <xdr:cNvPr id="16" name="Chart 15">
          <a:extLst>
            <a:ext uri="{FF2B5EF4-FFF2-40B4-BE49-F238E27FC236}">
              <a16:creationId xmlns:a16="http://schemas.microsoft.com/office/drawing/2014/main" id="{ACAB9D00-CDF6-4CEF-BACB-42101266DA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418681</xdr:colOff>
      <xdr:row>15</xdr:row>
      <xdr:rowOff>125603</xdr:rowOff>
    </xdr:from>
    <xdr:to>
      <xdr:col>7</xdr:col>
      <xdr:colOff>62804</xdr:colOff>
      <xdr:row>24</xdr:row>
      <xdr:rowOff>41867</xdr:rowOff>
    </xdr:to>
    <xdr:graphicFrame macro="">
      <xdr:nvGraphicFramePr>
        <xdr:cNvPr id="17" name="Chart 16">
          <a:extLst>
            <a:ext uri="{FF2B5EF4-FFF2-40B4-BE49-F238E27FC236}">
              <a16:creationId xmlns:a16="http://schemas.microsoft.com/office/drawing/2014/main" id="{28541A9C-8CBE-4468-83E8-BFDEDDB41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94204</xdr:colOff>
      <xdr:row>0</xdr:row>
      <xdr:rowOff>115137</xdr:rowOff>
    </xdr:from>
    <xdr:to>
      <xdr:col>5</xdr:col>
      <xdr:colOff>554752</xdr:colOff>
      <xdr:row>2</xdr:row>
      <xdr:rowOff>125605</xdr:rowOff>
    </xdr:to>
    <xdr:sp macro="" textlink="">
      <xdr:nvSpPr>
        <xdr:cNvPr id="9" name="TextBox 8">
          <a:extLst>
            <a:ext uri="{FF2B5EF4-FFF2-40B4-BE49-F238E27FC236}">
              <a16:creationId xmlns:a16="http://schemas.microsoft.com/office/drawing/2014/main" id="{8294EBF7-41E4-4162-ABBE-FD7572DD25AF}"/>
            </a:ext>
          </a:extLst>
        </xdr:cNvPr>
        <xdr:cNvSpPr txBox="1"/>
      </xdr:nvSpPr>
      <xdr:spPr>
        <a:xfrm>
          <a:off x="94204" y="115137"/>
          <a:ext cx="3495988" cy="387281"/>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solidFill>
            </a:rPr>
            <a:t>FINANCIAL EXPENCES</a:t>
          </a:r>
          <a:r>
            <a:rPr lang="en-IN" sz="1800" baseline="0">
              <a:solidFill>
                <a:schemeClr val="bg1"/>
              </a:solidFill>
            </a:rPr>
            <a:t> DASHBOARD</a:t>
          </a:r>
          <a:endParaRPr lang="en-IN" sz="1800">
            <a:solidFill>
              <a:schemeClr val="bg1"/>
            </a:solidFill>
          </a:endParaRPr>
        </a:p>
      </xdr:txBody>
    </xdr:sp>
    <xdr:clientData/>
  </xdr:twoCellAnchor>
  <xdr:twoCellAnchor>
    <xdr:from>
      <xdr:col>2</xdr:col>
      <xdr:colOff>429149</xdr:colOff>
      <xdr:row>2</xdr:row>
      <xdr:rowOff>146538</xdr:rowOff>
    </xdr:from>
    <xdr:to>
      <xdr:col>7</xdr:col>
      <xdr:colOff>41869</xdr:colOff>
      <xdr:row>15</xdr:row>
      <xdr:rowOff>10467</xdr:rowOff>
    </xdr:to>
    <xdr:graphicFrame macro="">
      <xdr:nvGraphicFramePr>
        <xdr:cNvPr id="21" name="Chart 20">
          <a:extLst>
            <a:ext uri="{FF2B5EF4-FFF2-40B4-BE49-F238E27FC236}">
              <a16:creationId xmlns:a16="http://schemas.microsoft.com/office/drawing/2014/main" id="{32F5F7E3-2AA3-4643-9193-07EBC919B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219809</xdr:colOff>
      <xdr:row>15</xdr:row>
      <xdr:rowOff>136071</xdr:rowOff>
    </xdr:from>
    <xdr:to>
      <xdr:col>12</xdr:col>
      <xdr:colOff>376813</xdr:colOff>
      <xdr:row>24</xdr:row>
      <xdr:rowOff>115138</xdr:rowOff>
    </xdr:to>
    <xdr:graphicFrame macro="">
      <xdr:nvGraphicFramePr>
        <xdr:cNvPr id="22" name="Chart 21">
          <a:extLst>
            <a:ext uri="{FF2B5EF4-FFF2-40B4-BE49-F238E27FC236}">
              <a16:creationId xmlns:a16="http://schemas.microsoft.com/office/drawing/2014/main" id="{508F2D64-EB2A-4AE4-9BE1-204FF5A655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31401</xdr:colOff>
      <xdr:row>12</xdr:row>
      <xdr:rowOff>41867</xdr:rowOff>
    </xdr:from>
    <xdr:to>
      <xdr:col>2</xdr:col>
      <xdr:colOff>345412</xdr:colOff>
      <xdr:row>24</xdr:row>
      <xdr:rowOff>41867</xdr:rowOff>
    </xdr:to>
    <mc:AlternateContent xmlns:mc="http://schemas.openxmlformats.org/markup-compatibility/2006" xmlns:a14="http://schemas.microsoft.com/office/drawing/2010/main">
      <mc:Choice Requires="a14">
        <xdr:graphicFrame macro="">
          <xdr:nvGraphicFramePr>
            <xdr:cNvPr id="23" name="Category 2">
              <a:extLst>
                <a:ext uri="{FF2B5EF4-FFF2-40B4-BE49-F238E27FC236}">
                  <a16:creationId xmlns:a16="http://schemas.microsoft.com/office/drawing/2014/main" id="{425CABC6-9891-407C-9E2C-507E021E67F6}"/>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31401" y="2302746"/>
              <a:ext cx="1528187" cy="2260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157006</xdr:colOff>
      <xdr:row>2</xdr:row>
      <xdr:rowOff>146539</xdr:rowOff>
    </xdr:from>
    <xdr:to>
      <xdr:col>2</xdr:col>
      <xdr:colOff>334946</xdr:colOff>
      <xdr:row>5</xdr:row>
      <xdr:rowOff>10467</xdr:rowOff>
    </xdr:to>
    <xdr:pic>
      <xdr:nvPicPr>
        <xdr:cNvPr id="24" name="Picture 23">
          <a:extLst>
            <a:ext uri="{FF2B5EF4-FFF2-40B4-BE49-F238E27FC236}">
              <a16:creationId xmlns:a16="http://schemas.microsoft.com/office/drawing/2014/main" id="{7567E846-34BF-4687-BF2B-988AC2939A84}"/>
            </a:ext>
          </a:extLst>
        </xdr:cNvPr>
        <xdr:cNvPicPr>
          <a:picLocks noChangeAspect="1"/>
        </xdr:cNvPicPr>
      </xdr:nvPicPr>
      <xdr:blipFill>
        <a:blip xmlns:r="http://schemas.openxmlformats.org/officeDocument/2006/relationships" r:embed="rId5"/>
        <a:stretch>
          <a:fillRect/>
        </a:stretch>
      </xdr:blipFill>
      <xdr:spPr>
        <a:xfrm>
          <a:off x="157006" y="523352"/>
          <a:ext cx="1392116" cy="429148"/>
        </a:xfrm>
        <a:prstGeom prst="rect">
          <a:avLst/>
        </a:prstGeom>
        <a:solidFill>
          <a:schemeClr val="accent5">
            <a:lumMod val="60000"/>
            <a:lumOff val="40000"/>
          </a:schemeClr>
        </a:solidFill>
      </xdr:spPr>
    </xdr:pic>
    <xdr:clientData/>
  </xdr:twoCellAnchor>
  <xdr:twoCellAnchor editAs="oneCell">
    <xdr:from>
      <xdr:col>0</xdr:col>
      <xdr:colOff>136071</xdr:colOff>
      <xdr:row>5</xdr:row>
      <xdr:rowOff>146537</xdr:rowOff>
    </xdr:from>
    <xdr:to>
      <xdr:col>2</xdr:col>
      <xdr:colOff>334945</xdr:colOff>
      <xdr:row>8</xdr:row>
      <xdr:rowOff>50750</xdr:rowOff>
    </xdr:to>
    <xdr:pic>
      <xdr:nvPicPr>
        <xdr:cNvPr id="26" name="Picture 25">
          <a:extLst>
            <a:ext uri="{FF2B5EF4-FFF2-40B4-BE49-F238E27FC236}">
              <a16:creationId xmlns:a16="http://schemas.microsoft.com/office/drawing/2014/main" id="{24809B81-EA30-4A8C-BE47-7D02907CC98C}"/>
            </a:ext>
          </a:extLst>
        </xdr:cNvPr>
        <xdr:cNvPicPr>
          <a:picLocks noChangeAspect="1"/>
        </xdr:cNvPicPr>
      </xdr:nvPicPr>
      <xdr:blipFill>
        <a:blip xmlns:r="http://schemas.openxmlformats.org/officeDocument/2006/relationships" r:embed="rId6"/>
        <a:stretch>
          <a:fillRect/>
        </a:stretch>
      </xdr:blipFill>
      <xdr:spPr>
        <a:xfrm>
          <a:off x="136071" y="1088570"/>
          <a:ext cx="1413050" cy="469433"/>
        </a:xfrm>
        <a:prstGeom prst="rect">
          <a:avLst/>
        </a:prstGeom>
        <a:solidFill>
          <a:schemeClr val="accent5">
            <a:lumMod val="60000"/>
            <a:lumOff val="40000"/>
          </a:schemeClr>
        </a:solidFill>
      </xdr:spPr>
    </xdr:pic>
    <xdr:clientData/>
  </xdr:twoCellAnchor>
  <xdr:twoCellAnchor editAs="oneCell">
    <xdr:from>
      <xdr:col>0</xdr:col>
      <xdr:colOff>157005</xdr:colOff>
      <xdr:row>8</xdr:row>
      <xdr:rowOff>157006</xdr:rowOff>
    </xdr:from>
    <xdr:to>
      <xdr:col>2</xdr:col>
      <xdr:colOff>324478</xdr:colOff>
      <xdr:row>11</xdr:row>
      <xdr:rowOff>83736</xdr:rowOff>
    </xdr:to>
    <xdr:pic>
      <xdr:nvPicPr>
        <xdr:cNvPr id="28" name="Picture 27">
          <a:extLst>
            <a:ext uri="{FF2B5EF4-FFF2-40B4-BE49-F238E27FC236}">
              <a16:creationId xmlns:a16="http://schemas.microsoft.com/office/drawing/2014/main" id="{6F4F7BEC-EF05-4299-A519-5F7EB533F993}"/>
            </a:ext>
          </a:extLst>
        </xdr:cNvPr>
        <xdr:cNvPicPr>
          <a:picLocks noChangeAspect="1"/>
        </xdr:cNvPicPr>
      </xdr:nvPicPr>
      <xdr:blipFill>
        <a:blip xmlns:r="http://schemas.openxmlformats.org/officeDocument/2006/relationships" r:embed="rId7"/>
        <a:stretch>
          <a:fillRect/>
        </a:stretch>
      </xdr:blipFill>
      <xdr:spPr>
        <a:xfrm>
          <a:off x="157005" y="1664259"/>
          <a:ext cx="1381649" cy="4919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48.475499189815" createdVersion="6" refreshedVersion="6" minRefreshableVersion="3" recordCount="150" xr:uid="{B7078691-F709-4400-8F5B-B6796701B7C8}">
  <cacheSource type="worksheet">
    <worksheetSource name="Table5"/>
  </cacheSource>
  <cacheFields count="15">
    <cacheField name="Expense_ID" numFmtId="0">
      <sharedItems containsSemiMixedTypes="0" containsString="0" containsNumber="1" containsInteger="1" minValue="1" maxValue="150"/>
    </cacheField>
    <cacheField name="Expense_Date" numFmtId="14">
      <sharedItems containsSemiMixedTypes="0" containsNonDate="0" containsDate="1" containsString="0" minDate="2025-07-25T00:00:00" maxDate="2026-01-21T00:00:00"/>
    </cacheField>
    <cacheField name="Category" numFmtId="0">
      <sharedItems count="7">
        <s v="Shopping"/>
        <s v="Medical"/>
        <s v="Food"/>
        <s v="Utilities"/>
        <s v="Travel"/>
        <s v="Rent"/>
        <s v="Entertainment"/>
      </sharedItems>
    </cacheField>
    <cacheField name="Description" numFmtId="0">
      <sharedItems/>
    </cacheField>
    <cacheField name="Payment_Mode" numFmtId="0">
      <sharedItems count="3">
        <s v="Card"/>
        <s v="UPI"/>
        <s v="Cash"/>
      </sharedItems>
    </cacheField>
    <cacheField name="Amount" numFmtId="2">
      <sharedItems containsSemiMixedTypes="0" containsString="0" containsNumber="1" minValue="103.65" maxValue="4953" count="150">
        <n v="3986.17"/>
        <n v="1390.62"/>
        <n v="2222.91"/>
        <n v="438.36"/>
        <n v="175.49"/>
        <n v="4815.1099999999997"/>
        <n v="4188.1000000000004"/>
        <n v="3495.07"/>
        <n v="2074.3200000000002"/>
        <n v="907.81"/>
        <n v="824.36"/>
        <n v="1288.7"/>
        <n v="2768.67"/>
        <n v="3587.25"/>
        <n v="3317.98"/>
        <n v="1435.67"/>
        <n v="4776.58"/>
        <n v="3702.59"/>
        <n v="2794.05"/>
        <n v="3078.02"/>
        <n v="2127.02"/>
        <n v="1276.27"/>
        <n v="1812.06"/>
        <n v="3801.34"/>
        <n v="121.25"/>
        <n v="624.55999999999995"/>
        <n v="277.70999999999998"/>
        <n v="251.61"/>
        <n v="4284.53"/>
        <n v="3533.11"/>
        <n v="2397.16"/>
        <n v="534.28"/>
        <n v="2483.5"/>
        <n v="2393.69"/>
        <n v="907.35"/>
        <n v="2197.5700000000002"/>
        <n v="2022.6"/>
        <n v="3098.46"/>
        <n v="3193.71"/>
        <n v="274.25"/>
        <n v="1904.33"/>
        <n v="3148.01"/>
        <n v="2540.52"/>
        <n v="4289.62"/>
        <n v="3310.53"/>
        <n v="856.53"/>
        <n v="399.32"/>
        <n v="3229.98"/>
        <n v="181.23"/>
        <n v="2949.59"/>
        <n v="4704.1400000000003"/>
        <n v="2898.6"/>
        <n v="1971.44"/>
        <n v="3234.28"/>
        <n v="2318.35"/>
        <n v="2750.8"/>
        <n v="4710.25"/>
        <n v="1961.21"/>
        <n v="4807.8900000000003"/>
        <n v="4531.49"/>
        <n v="1019.17"/>
        <n v="393.34"/>
        <n v="548.85"/>
        <n v="140.19999999999999"/>
        <n v="517.49"/>
        <n v="3430.88"/>
        <n v="402.38"/>
        <n v="1628.93"/>
        <n v="4232.13"/>
        <n v="165.2"/>
        <n v="4081.62"/>
        <n v="1445.18"/>
        <n v="634.91999999999996"/>
        <n v="3498.85"/>
        <n v="3163.27"/>
        <n v="4393.49"/>
        <n v="3688.6"/>
        <n v="4027.23"/>
        <n v="1446.07"/>
        <n v="928.33"/>
        <n v="3765.54"/>
        <n v="4043.83"/>
        <n v="4953"/>
        <n v="2092.46"/>
        <n v="1891.49"/>
        <n v="3893.24"/>
        <n v="1736.98"/>
        <n v="4657.25"/>
        <n v="4299.1400000000003"/>
        <n v="2173.52"/>
        <n v="3766.81"/>
        <n v="3784.99"/>
        <n v="560.46"/>
        <n v="4517.6400000000003"/>
        <n v="2551"/>
        <n v="4140.96"/>
        <n v="1634.25"/>
        <n v="4482.84"/>
        <n v="1976.55"/>
        <n v="103.65"/>
        <n v="4531.6400000000003"/>
        <n v="501.87"/>
        <n v="1630.6"/>
        <n v="4752.8100000000004"/>
        <n v="4755.51"/>
        <n v="2888.52"/>
        <n v="3177.59"/>
        <n v="2269.81"/>
        <n v="1501.39"/>
        <n v="1676.89"/>
        <n v="3378.97"/>
        <n v="3774.25"/>
        <n v="3968.32"/>
        <n v="3958.61"/>
        <n v="501.47"/>
        <n v="2497.38"/>
        <n v="334.92"/>
        <n v="2770.17"/>
        <n v="2235.58"/>
        <n v="4444.1400000000003"/>
        <n v="1787.03"/>
        <n v="629.48"/>
        <n v="757.81"/>
        <n v="3819.48"/>
        <n v="3110.18"/>
        <n v="550.55999999999995"/>
        <n v="466.33"/>
        <n v="3519.8"/>
        <n v="410.18"/>
        <n v="4118.21"/>
        <n v="3545.9"/>
        <n v="452.68"/>
        <n v="469.95"/>
        <n v="4933.87"/>
        <n v="1902.64"/>
        <n v="1884.68"/>
        <n v="4073.36"/>
        <n v="4738.88"/>
        <n v="4930.71"/>
        <n v="3779.22"/>
        <n v="1912.48"/>
        <n v="463.33"/>
        <n v="3896.88"/>
        <n v="2814.1"/>
        <n v="2149.9"/>
        <n v="4536.45"/>
        <n v="600.42999999999995"/>
        <n v="2488.4899999999998"/>
        <n v="106.2"/>
        <n v="2369.87"/>
      </sharedItems>
    </cacheField>
    <cacheField name="Subcategory" numFmtId="0">
      <sharedItems count="28">
        <s v="Electronics"/>
        <s v="Health Insurance"/>
        <s v="Beverages"/>
        <s v="Accessories"/>
        <s v="Pharmacy"/>
        <s v="Internet"/>
        <s v="Electricity"/>
        <s v="Taxi"/>
        <s v="Storage"/>
        <s v="Subscription"/>
        <s v="Groceries"/>
        <s v="Restaurant"/>
        <s v="Flight"/>
        <s v="Gas"/>
        <s v="Clothes"/>
        <s v="Fuel"/>
        <s v="Doctor"/>
        <s v="Snacks"/>
        <s v="Train"/>
        <s v="Movies"/>
        <s v="Hospital"/>
        <s v="Apartment"/>
        <s v="Water"/>
        <s v="Concert"/>
        <s v="Bus"/>
        <s v="Office"/>
        <s v="Games"/>
        <s v="Home Decor"/>
      </sharedItems>
    </cacheField>
    <cacheField name="Location" numFmtId="0">
      <sharedItems/>
    </cacheField>
    <cacheField name="Recurring" numFmtId="0">
      <sharedItems/>
    </cacheField>
    <cacheField name="Vendor" numFmtId="0">
      <sharedItems/>
    </cacheField>
    <cacheField name="Payment_Status" numFmtId="0">
      <sharedItems/>
    </cacheField>
    <cacheField name="Notes" numFmtId="0">
      <sharedItems count="1">
        <s v="-"/>
      </sharedItems>
    </cacheField>
    <cacheField name="Month" numFmtId="0">
      <sharedItems count="7">
        <s v="November"/>
        <s v="January"/>
        <s v="October"/>
        <s v="August"/>
        <s v="December"/>
        <s v="September"/>
        <s v="July"/>
      </sharedItems>
    </cacheField>
    <cacheField name="YEAR" numFmtId="0">
      <sharedItems containsSemiMixedTypes="0" containsString="0" containsNumber="1" containsInteger="1" minValue="2025" maxValue="2026"/>
    </cacheField>
    <cacheField name="Hgh-Value-Flag" numFmtId="0">
      <sharedItems count="2">
        <s v="high"/>
        <s v="normal"/>
      </sharedItems>
    </cacheField>
  </cacheFields>
  <extLst>
    <ext xmlns:x14="http://schemas.microsoft.com/office/spreadsheetml/2009/9/main" uri="{725AE2AE-9491-48be-B2B4-4EB974FC3084}">
      <x14:pivotCacheDefinition pivotCacheId="5906451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48.491110300929" createdVersion="6" refreshedVersion="6" minRefreshableVersion="3" recordCount="150" xr:uid="{18800BF6-7B3D-4C7D-B099-F374AFEF6E9F}">
  <cacheSource type="worksheet">
    <worksheetSource name="Table5"/>
  </cacheSource>
  <cacheFields count="15">
    <cacheField name="Expense_ID" numFmtId="0">
      <sharedItems containsSemiMixedTypes="0" containsString="0" containsNumber="1" containsInteger="1" minValue="1" maxValue="150"/>
    </cacheField>
    <cacheField name="Expense_Date" numFmtId="14">
      <sharedItems containsSemiMixedTypes="0" containsNonDate="0" containsDate="1" containsString="0" minDate="2025-07-25T00:00:00" maxDate="2026-01-21T00:00:00"/>
    </cacheField>
    <cacheField name="Category" numFmtId="0">
      <sharedItems/>
    </cacheField>
    <cacheField name="Description" numFmtId="0">
      <sharedItems/>
    </cacheField>
    <cacheField name="Payment_Mode" numFmtId="0">
      <sharedItems count="3">
        <s v="Card"/>
        <s v="UPI"/>
        <s v="Cash"/>
      </sharedItems>
    </cacheField>
    <cacheField name="Amount" numFmtId="2">
      <sharedItems containsSemiMixedTypes="0" containsString="0" containsNumber="1" minValue="103.65" maxValue="4953"/>
    </cacheField>
    <cacheField name="Subcategory" numFmtId="0">
      <sharedItems/>
    </cacheField>
    <cacheField name="Location" numFmtId="0">
      <sharedItems/>
    </cacheField>
    <cacheField name="Recurring" numFmtId="0">
      <sharedItems/>
    </cacheField>
    <cacheField name="Vendor" numFmtId="0">
      <sharedItems/>
    </cacheField>
    <cacheField name="Payment_Status" numFmtId="0">
      <sharedItems/>
    </cacheField>
    <cacheField name="Notes" numFmtId="0">
      <sharedItems/>
    </cacheField>
    <cacheField name="Month" numFmtId="0">
      <sharedItems/>
    </cacheField>
    <cacheField name="YEAR" numFmtId="0">
      <sharedItems containsSemiMixedTypes="0" containsString="0" containsNumber="1" containsInteger="1" minValue="2025" maxValue="2026"/>
    </cacheField>
    <cacheField name="Hgh-Value-Flag"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48.491469097222" createdVersion="6" refreshedVersion="6" minRefreshableVersion="3" recordCount="150" xr:uid="{503ADCF2-A71A-40C3-B082-DA91E9739067}">
  <cacheSource type="worksheet">
    <worksheetSource name="Table5"/>
  </cacheSource>
  <cacheFields count="15">
    <cacheField name="Expense_ID" numFmtId="0">
      <sharedItems containsSemiMixedTypes="0" containsString="0" containsNumber="1" containsInteger="1" minValue="1" maxValue="150"/>
    </cacheField>
    <cacheField name="Expense_Date" numFmtId="14">
      <sharedItems containsSemiMixedTypes="0" containsNonDate="0" containsDate="1" containsString="0" minDate="2025-07-25T00:00:00" maxDate="2026-01-21T00:00:00"/>
    </cacheField>
    <cacheField name="Category" numFmtId="0">
      <sharedItems/>
    </cacheField>
    <cacheField name="Description" numFmtId="0">
      <sharedItems count="150">
        <s v="Sample expense 1"/>
        <s v="Sample expense 2"/>
        <s v="Sample expense 3"/>
        <s v="Sample expense 4"/>
        <s v="Sample expense 5"/>
        <s v="Sample expense 6"/>
        <s v="Sample expense 7"/>
        <s v="Sample expense 8"/>
        <s v="Sample expense 9"/>
        <s v="Sample expense 10"/>
        <s v="Sample expense 11"/>
        <s v="Sample expense 12"/>
        <s v="Sample expense 13"/>
        <s v="Sample expense 14"/>
        <s v="Sample expense 15"/>
        <s v="Sample expense 16"/>
        <s v="Sample expense 17"/>
        <s v="Sample expense 18"/>
        <s v="Sample expense 19"/>
        <s v="Sample expense 20"/>
        <s v="Sample expense 21"/>
        <s v="Sample expense 22"/>
        <s v="Sample expense 23"/>
        <s v="Sample expense 24"/>
        <s v="Sample expense 25"/>
        <s v="Sample expense 26"/>
        <s v="Sample expense 27"/>
        <s v="Sample expense 28"/>
        <s v="Sample expense 29"/>
        <s v="Sample expense 30"/>
        <s v="Sample expense 31"/>
        <s v="Sample expense 32"/>
        <s v="Sample expense 33"/>
        <s v="Sample expense 34"/>
        <s v="Sample expense 35"/>
        <s v="Sample expense 36"/>
        <s v="Sample expense 37"/>
        <s v="Sample expense 38"/>
        <s v="Sample expense 39"/>
        <s v="Sample expense 40"/>
        <s v="Sample expense 41"/>
        <s v="Sample expense 42"/>
        <s v="Sample expense 43"/>
        <s v="Sample expense 44"/>
        <s v="Sample expense 45"/>
        <s v="Sample expense 46"/>
        <s v="Sample expense 47"/>
        <s v="Sample expense 48"/>
        <s v="Sample expense 49"/>
        <s v="Sample expense 50"/>
        <s v="Sample expense 51"/>
        <s v="Sample expense 52"/>
        <s v="Sample expense 53"/>
        <s v="Sample expense 54"/>
        <s v="Sample expense 55"/>
        <s v="Sample expense 56"/>
        <s v="Sample expense 57"/>
        <s v="Sample expense 58"/>
        <s v="Sample expense 59"/>
        <s v="Sample expense 60"/>
        <s v="Sample expense 61"/>
        <s v="Sample expense 62"/>
        <s v="Sample expense 63"/>
        <s v="Sample expense 64"/>
        <s v="Sample expense 65"/>
        <s v="Sample expense 66"/>
        <s v="Sample expense 67"/>
        <s v="Sample expense 68"/>
        <s v="Sample expense 69"/>
        <s v="Sample expense 70"/>
        <s v="Sample expense 71"/>
        <s v="Sample expense 72"/>
        <s v="Sample expense 73"/>
        <s v="Sample expense 74"/>
        <s v="Sample expense 75"/>
        <s v="Sample expense 76"/>
        <s v="Sample expense 77"/>
        <s v="Sample expense 78"/>
        <s v="Sample expense 79"/>
        <s v="Sample expense 80"/>
        <s v="Sample expense 81"/>
        <s v="Sample expense 82"/>
        <s v="Sample expense 83"/>
        <s v="Sample expense 84"/>
        <s v="Sample expense 85"/>
        <s v="Sample expense 86"/>
        <s v="Sample expense 87"/>
        <s v="Sample expense 88"/>
        <s v="Sample expense 89"/>
        <s v="Sample expense 90"/>
        <s v="Sample expense 91"/>
        <s v="Sample expense 92"/>
        <s v="Sample expense 93"/>
        <s v="Sample expense 94"/>
        <s v="Sample expense 95"/>
        <s v="Sample expense 96"/>
        <s v="Sample expense 97"/>
        <s v="Sample expense 98"/>
        <s v="Sample expense 99"/>
        <s v="Sample expense 100"/>
        <s v="Sample expense 101"/>
        <s v="Sample expense 102"/>
        <s v="Sample expense 103"/>
        <s v="Sample expense 104"/>
        <s v="Sample expense 105"/>
        <s v="Sample expense 106"/>
        <s v="Sample expense 107"/>
        <s v="Sample expense 108"/>
        <s v="Sample expense 109"/>
        <s v="Sample expense 110"/>
        <s v="Sample expense 111"/>
        <s v="Sample expense 112"/>
        <s v="Sample expense 113"/>
        <s v="Sample expense 114"/>
        <s v="Sample expense 115"/>
        <s v="Sample expense 116"/>
        <s v="Sample expense 117"/>
        <s v="Sample expense 118"/>
        <s v="Sample expense 119"/>
        <s v="Sample expense 120"/>
        <s v="Sample expense 121"/>
        <s v="Sample expense 122"/>
        <s v="Sample expense 123"/>
        <s v="Sample expense 124"/>
        <s v="Sample expense 125"/>
        <s v="Sample expense 126"/>
        <s v="Sample expense 127"/>
        <s v="Sample expense 128"/>
        <s v="Sample expense 129"/>
        <s v="Sample expense 130"/>
        <s v="Sample expense 131"/>
        <s v="Sample expense 132"/>
        <s v="Sample expense 133"/>
        <s v="Sample expense 134"/>
        <s v="Sample expense 135"/>
        <s v="Sample expense 136"/>
        <s v="Sample expense 137"/>
        <s v="Sample expense 138"/>
        <s v="Sample expense 139"/>
        <s v="Sample expense 140"/>
        <s v="Sample expense 141"/>
        <s v="Sample expense 142"/>
        <s v="Sample expense 143"/>
        <s v="Sample expense 144"/>
        <s v="Sample expense 145"/>
        <s v="Sample expense 146"/>
        <s v="Sample expense 147"/>
        <s v="Sample expense 148"/>
        <s v="Sample expense 149"/>
        <s v="Sample expense 150"/>
      </sharedItems>
    </cacheField>
    <cacheField name="Payment_Mode" numFmtId="0">
      <sharedItems/>
    </cacheField>
    <cacheField name="Amount" numFmtId="2">
      <sharedItems containsSemiMixedTypes="0" containsString="0" containsNumber="1" minValue="103.65" maxValue="4953"/>
    </cacheField>
    <cacheField name="Subcategory" numFmtId="0">
      <sharedItems/>
    </cacheField>
    <cacheField name="Location" numFmtId="0">
      <sharedItems count="6">
        <s v="New York"/>
        <s v="Chicago"/>
        <s v="Phoenix"/>
        <s v="Houston"/>
        <s v="Miami"/>
        <s v="Los Angeles"/>
      </sharedItems>
    </cacheField>
    <cacheField name="Recurring" numFmtId="0">
      <sharedItems count="2">
        <s v="Yes"/>
        <s v="No"/>
      </sharedItems>
    </cacheField>
    <cacheField name="Vendor" numFmtId="0">
      <sharedItems/>
    </cacheField>
    <cacheField name="Payment_Status" numFmtId="0">
      <sharedItems/>
    </cacheField>
    <cacheField name="Notes" numFmtId="0">
      <sharedItems/>
    </cacheField>
    <cacheField name="Month" numFmtId="0">
      <sharedItems/>
    </cacheField>
    <cacheField name="YEAR" numFmtId="0">
      <sharedItems containsSemiMixedTypes="0" containsString="0" containsNumber="1" containsInteger="1" minValue="2025" maxValue="2026"/>
    </cacheField>
    <cacheField name="Hgh-Value-Flag"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48.492013194445" createdVersion="6" refreshedVersion="6" minRefreshableVersion="3" recordCount="150" xr:uid="{92F79643-ACD2-49A9-A822-5637F45ABAD9}">
  <cacheSource type="worksheet">
    <worksheetSource name="Table5"/>
  </cacheSource>
  <cacheFields count="15">
    <cacheField name="Expense_ID" numFmtId="0">
      <sharedItems containsSemiMixedTypes="0" containsString="0" containsNumber="1" containsInteger="1" minValue="1" maxValue="150"/>
    </cacheField>
    <cacheField name="Expense_Date" numFmtId="14">
      <sharedItems containsSemiMixedTypes="0" containsNonDate="0" containsDate="1" containsString="0" minDate="2025-07-25T00:00:00" maxDate="2026-01-21T00:00:00" count="101">
        <d v="2025-11-04T00:00:00"/>
        <d v="2026-01-20T00:00:00"/>
        <d v="2025-10-25T00:00:00"/>
        <d v="2025-08-08T00:00:00"/>
        <d v="2025-11-08T00:00:00"/>
        <d v="2025-10-04T00:00:00"/>
        <d v="2025-08-14T00:00:00"/>
        <d v="2025-11-23T00:00:00"/>
        <d v="2025-10-07T00:00:00"/>
        <d v="2025-10-20T00:00:00"/>
        <d v="2025-11-18T00:00:00"/>
        <d v="2025-11-01T00:00:00"/>
        <d v="2025-11-05T00:00:00"/>
        <d v="2025-12-23T00:00:00"/>
        <d v="2025-12-02T00:00:00"/>
        <d v="2025-12-21T00:00:00"/>
        <d v="2025-09-15T00:00:00"/>
        <d v="2025-07-26T00:00:00"/>
        <d v="2025-12-29T00:00:00"/>
        <d v="2025-08-31T00:00:00"/>
        <d v="2025-12-01T00:00:00"/>
        <d v="2026-01-01T00:00:00"/>
        <d v="2025-09-20T00:00:00"/>
        <d v="2025-08-15T00:00:00"/>
        <d v="2025-10-21T00:00:00"/>
        <d v="2025-09-11T00:00:00"/>
        <d v="2025-09-21T00:00:00"/>
        <d v="2026-01-10T00:00:00"/>
        <d v="2026-01-15T00:00:00"/>
        <d v="2025-09-13T00:00:00"/>
        <d v="2025-11-09T00:00:00"/>
        <d v="2025-09-17T00:00:00"/>
        <d v="2025-09-26T00:00:00"/>
        <d v="2025-12-06T00:00:00"/>
        <d v="2025-10-05T00:00:00"/>
        <d v="2026-01-07T00:00:00"/>
        <d v="2025-08-11T00:00:00"/>
        <d v="2025-12-03T00:00:00"/>
        <d v="2025-09-22T00:00:00"/>
        <d v="2025-08-07T00:00:00"/>
        <d v="2025-08-02T00:00:00"/>
        <d v="2025-10-22T00:00:00"/>
        <d v="2025-10-16T00:00:00"/>
        <d v="2025-10-24T00:00:00"/>
        <d v="2025-11-12T00:00:00"/>
        <d v="2026-01-12T00:00:00"/>
        <d v="2025-08-01T00:00:00"/>
        <d v="2025-08-28T00:00:00"/>
        <d v="2025-10-13T00:00:00"/>
        <d v="2026-01-04T00:00:00"/>
        <d v="2025-09-12T00:00:00"/>
        <d v="2025-12-05T00:00:00"/>
        <d v="2025-09-16T00:00:00"/>
        <d v="2025-11-07T00:00:00"/>
        <d v="2025-07-28T00:00:00"/>
        <d v="2025-12-17T00:00:00"/>
        <d v="2025-09-06T00:00:00"/>
        <d v="2026-01-02T00:00:00"/>
        <d v="2025-10-27T00:00:00"/>
        <d v="2025-09-10T00:00:00"/>
        <d v="2025-09-02T00:00:00"/>
        <d v="2025-10-14T00:00:00"/>
        <d v="2025-08-17T00:00:00"/>
        <d v="2025-12-25T00:00:00"/>
        <d v="2025-11-25T00:00:00"/>
        <d v="2025-09-03T00:00:00"/>
        <d v="2025-12-28T00:00:00"/>
        <d v="2025-09-07T00:00:00"/>
        <d v="2025-09-27T00:00:00"/>
        <d v="2025-10-03T00:00:00"/>
        <d v="2025-11-30T00:00:00"/>
        <d v="2025-12-07T00:00:00"/>
        <d v="2025-09-25T00:00:00"/>
        <d v="2025-12-10T00:00:00"/>
        <d v="2026-01-03T00:00:00"/>
        <d v="2025-08-26T00:00:00"/>
        <d v="2025-11-24T00:00:00"/>
        <d v="2025-07-29T00:00:00"/>
        <d v="2025-08-21T00:00:00"/>
        <d v="2025-08-05T00:00:00"/>
        <d v="2025-12-22T00:00:00"/>
        <d v="2025-09-24T00:00:00"/>
        <d v="2025-08-30T00:00:00"/>
        <d v="2025-10-31T00:00:00"/>
        <d v="2025-11-02T00:00:00"/>
        <d v="2025-07-25T00:00:00"/>
        <d v="2025-12-13T00:00:00"/>
        <d v="2025-08-20T00:00:00"/>
        <d v="2025-12-08T00:00:00"/>
        <d v="2025-09-04T00:00:00"/>
        <d v="2026-01-19T00:00:00"/>
        <d v="2025-10-28T00:00:00"/>
        <d v="2025-09-14T00:00:00"/>
        <d v="2025-12-14T00:00:00"/>
        <d v="2026-01-11T00:00:00"/>
        <d v="2025-08-22T00:00:00"/>
        <d v="2025-08-29T00:00:00"/>
        <d v="2025-08-06T00:00:00"/>
        <d v="2025-12-31T00:00:00"/>
        <d v="2025-10-18T00:00:00"/>
        <d v="2025-09-28T00:00:00"/>
      </sharedItems>
    </cacheField>
    <cacheField name="Category" numFmtId="0">
      <sharedItems/>
    </cacheField>
    <cacheField name="Description" numFmtId="0">
      <sharedItems/>
    </cacheField>
    <cacheField name="Payment_Mode" numFmtId="0">
      <sharedItems/>
    </cacheField>
    <cacheField name="Amount" numFmtId="2">
      <sharedItems containsSemiMixedTypes="0" containsString="0" containsNumber="1" minValue="103.65" maxValue="4953"/>
    </cacheField>
    <cacheField name="Subcategory" numFmtId="0">
      <sharedItems/>
    </cacheField>
    <cacheField name="Location" numFmtId="0">
      <sharedItems/>
    </cacheField>
    <cacheField name="Recurring" numFmtId="0">
      <sharedItems count="2">
        <s v="Yes"/>
        <s v="No"/>
      </sharedItems>
    </cacheField>
    <cacheField name="Vendor" numFmtId="0">
      <sharedItems/>
    </cacheField>
    <cacheField name="Payment_Status" numFmtId="0">
      <sharedItems/>
    </cacheField>
    <cacheField name="Notes" numFmtId="0">
      <sharedItems/>
    </cacheField>
    <cacheField name="Month" numFmtId="0">
      <sharedItems count="7">
        <s v="November"/>
        <s v="January"/>
        <s v="October"/>
        <s v="August"/>
        <s v="December"/>
        <s v="September"/>
        <s v="July"/>
      </sharedItems>
    </cacheField>
    <cacheField name="YEAR" numFmtId="0">
      <sharedItems containsSemiMixedTypes="0" containsString="0" containsNumber="1" containsInteger="1" minValue="2025" maxValue="2026"/>
    </cacheField>
    <cacheField name="Hgh-Value-Flag"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48.492351620371" createdVersion="6" refreshedVersion="6" minRefreshableVersion="3" recordCount="150" xr:uid="{5571A8E9-7C6F-4E73-AEC5-90E62390A5E0}">
  <cacheSource type="worksheet">
    <worksheetSource name="Table5"/>
  </cacheSource>
  <cacheFields count="15">
    <cacheField name="Expense_ID" numFmtId="0">
      <sharedItems containsSemiMixedTypes="0" containsString="0" containsNumber="1" containsInteger="1" minValue="1" maxValue="150"/>
    </cacheField>
    <cacheField name="Expense_Date" numFmtId="14">
      <sharedItems containsSemiMixedTypes="0" containsNonDate="0" containsDate="1" containsString="0" minDate="2025-07-25T00:00:00" maxDate="2026-01-21T00:00:00"/>
    </cacheField>
    <cacheField name="Category" numFmtId="0">
      <sharedItems count="7">
        <s v="Shopping"/>
        <s v="Medical"/>
        <s v="Food"/>
        <s v="Utilities"/>
        <s v="Travel"/>
        <s v="Rent"/>
        <s v="Entertainment"/>
      </sharedItems>
    </cacheField>
    <cacheField name="Description" numFmtId="0">
      <sharedItems count="150">
        <s v="Sample expense 1"/>
        <s v="Sample expense 2"/>
        <s v="Sample expense 3"/>
        <s v="Sample expense 4"/>
        <s v="Sample expense 5"/>
        <s v="Sample expense 6"/>
        <s v="Sample expense 7"/>
        <s v="Sample expense 8"/>
        <s v="Sample expense 9"/>
        <s v="Sample expense 10"/>
        <s v="Sample expense 11"/>
        <s v="Sample expense 12"/>
        <s v="Sample expense 13"/>
        <s v="Sample expense 14"/>
        <s v="Sample expense 15"/>
        <s v="Sample expense 16"/>
        <s v="Sample expense 17"/>
        <s v="Sample expense 18"/>
        <s v="Sample expense 19"/>
        <s v="Sample expense 20"/>
        <s v="Sample expense 21"/>
        <s v="Sample expense 22"/>
        <s v="Sample expense 23"/>
        <s v="Sample expense 24"/>
        <s v="Sample expense 25"/>
        <s v="Sample expense 26"/>
        <s v="Sample expense 27"/>
        <s v="Sample expense 28"/>
        <s v="Sample expense 29"/>
        <s v="Sample expense 30"/>
        <s v="Sample expense 31"/>
        <s v="Sample expense 32"/>
        <s v="Sample expense 33"/>
        <s v="Sample expense 34"/>
        <s v="Sample expense 35"/>
        <s v="Sample expense 36"/>
        <s v="Sample expense 37"/>
        <s v="Sample expense 38"/>
        <s v="Sample expense 39"/>
        <s v="Sample expense 40"/>
        <s v="Sample expense 41"/>
        <s v="Sample expense 42"/>
        <s v="Sample expense 43"/>
        <s v="Sample expense 44"/>
        <s v="Sample expense 45"/>
        <s v="Sample expense 46"/>
        <s v="Sample expense 47"/>
        <s v="Sample expense 48"/>
        <s v="Sample expense 49"/>
        <s v="Sample expense 50"/>
        <s v="Sample expense 51"/>
        <s v="Sample expense 52"/>
        <s v="Sample expense 53"/>
        <s v="Sample expense 54"/>
        <s v="Sample expense 55"/>
        <s v="Sample expense 56"/>
        <s v="Sample expense 57"/>
        <s v="Sample expense 58"/>
        <s v="Sample expense 59"/>
        <s v="Sample expense 60"/>
        <s v="Sample expense 61"/>
        <s v="Sample expense 62"/>
        <s v="Sample expense 63"/>
        <s v="Sample expense 64"/>
        <s v="Sample expense 65"/>
        <s v="Sample expense 66"/>
        <s v="Sample expense 67"/>
        <s v="Sample expense 68"/>
        <s v="Sample expense 69"/>
        <s v="Sample expense 70"/>
        <s v="Sample expense 71"/>
        <s v="Sample expense 72"/>
        <s v="Sample expense 73"/>
        <s v="Sample expense 74"/>
        <s v="Sample expense 75"/>
        <s v="Sample expense 76"/>
        <s v="Sample expense 77"/>
        <s v="Sample expense 78"/>
        <s v="Sample expense 79"/>
        <s v="Sample expense 80"/>
        <s v="Sample expense 81"/>
        <s v="Sample expense 82"/>
        <s v="Sample expense 83"/>
        <s v="Sample expense 84"/>
        <s v="Sample expense 85"/>
        <s v="Sample expense 86"/>
        <s v="Sample expense 87"/>
        <s v="Sample expense 88"/>
        <s v="Sample expense 89"/>
        <s v="Sample expense 90"/>
        <s v="Sample expense 91"/>
        <s v="Sample expense 92"/>
        <s v="Sample expense 93"/>
        <s v="Sample expense 94"/>
        <s v="Sample expense 95"/>
        <s v="Sample expense 96"/>
        <s v="Sample expense 97"/>
        <s v="Sample expense 98"/>
        <s v="Sample expense 99"/>
        <s v="Sample expense 100"/>
        <s v="Sample expense 101"/>
        <s v="Sample expense 102"/>
        <s v="Sample expense 103"/>
        <s v="Sample expense 104"/>
        <s v="Sample expense 105"/>
        <s v="Sample expense 106"/>
        <s v="Sample expense 107"/>
        <s v="Sample expense 108"/>
        <s v="Sample expense 109"/>
        <s v="Sample expense 110"/>
        <s v="Sample expense 111"/>
        <s v="Sample expense 112"/>
        <s v="Sample expense 113"/>
        <s v="Sample expense 114"/>
        <s v="Sample expense 115"/>
        <s v="Sample expense 116"/>
        <s v="Sample expense 117"/>
        <s v="Sample expense 118"/>
        <s v="Sample expense 119"/>
        <s v="Sample expense 120"/>
        <s v="Sample expense 121"/>
        <s v="Sample expense 122"/>
        <s v="Sample expense 123"/>
        <s v="Sample expense 124"/>
        <s v="Sample expense 125"/>
        <s v="Sample expense 126"/>
        <s v="Sample expense 127"/>
        <s v="Sample expense 128"/>
        <s v="Sample expense 129"/>
        <s v="Sample expense 130"/>
        <s v="Sample expense 131"/>
        <s v="Sample expense 132"/>
        <s v="Sample expense 133"/>
        <s v="Sample expense 134"/>
        <s v="Sample expense 135"/>
        <s v="Sample expense 136"/>
        <s v="Sample expense 137"/>
        <s v="Sample expense 138"/>
        <s v="Sample expense 139"/>
        <s v="Sample expense 140"/>
        <s v="Sample expense 141"/>
        <s v="Sample expense 142"/>
        <s v="Sample expense 143"/>
        <s v="Sample expense 144"/>
        <s v="Sample expense 145"/>
        <s v="Sample expense 146"/>
        <s v="Sample expense 147"/>
        <s v="Sample expense 148"/>
        <s v="Sample expense 149"/>
        <s v="Sample expense 150"/>
      </sharedItems>
    </cacheField>
    <cacheField name="Payment_Mode" numFmtId="0">
      <sharedItems/>
    </cacheField>
    <cacheField name="Amount" numFmtId="2">
      <sharedItems containsSemiMixedTypes="0" containsString="0" containsNumber="1" minValue="103.65" maxValue="4953"/>
    </cacheField>
    <cacheField name="Subcategory" numFmtId="0">
      <sharedItems/>
    </cacheField>
    <cacheField name="Location" numFmtId="0">
      <sharedItems/>
    </cacheField>
    <cacheField name="Recurring" numFmtId="0">
      <sharedItems/>
    </cacheField>
    <cacheField name="Vendor" numFmtId="0">
      <sharedItems/>
    </cacheField>
    <cacheField name="Payment_Status" numFmtId="0">
      <sharedItems count="2">
        <s v="Paid"/>
        <s v="Pending"/>
      </sharedItems>
    </cacheField>
    <cacheField name="Notes" numFmtId="0">
      <sharedItems/>
    </cacheField>
    <cacheField name="Month" numFmtId="0">
      <sharedItems/>
    </cacheField>
    <cacheField name="YEAR" numFmtId="0">
      <sharedItems containsSemiMixedTypes="0" containsString="0" containsNumber="1" containsInteger="1" minValue="2025" maxValue="2026"/>
    </cacheField>
    <cacheField name="Hgh-Value-Flag"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n v="1"/>
    <d v="2025-11-04T00:00:00"/>
    <x v="0"/>
    <s v="Sample expense 1"/>
    <x v="0"/>
    <x v="0"/>
    <x v="0"/>
    <s v="New York"/>
    <s v="Yes"/>
    <s v="Macy's"/>
    <s v="Paid"/>
    <x v="0"/>
    <x v="0"/>
    <n v="2025"/>
    <x v="0"/>
  </r>
  <r>
    <n v="2"/>
    <d v="2026-01-20T00:00:00"/>
    <x v="1"/>
    <s v="Sample expense 2"/>
    <x v="0"/>
    <x v="1"/>
    <x v="1"/>
    <s v="Chicago"/>
    <s v="No"/>
    <s v="Walgreens"/>
    <s v="Pending"/>
    <x v="0"/>
    <x v="1"/>
    <n v="2026"/>
    <x v="1"/>
  </r>
  <r>
    <n v="3"/>
    <d v="2025-10-25T00:00:00"/>
    <x v="2"/>
    <s v="Sample expense 3"/>
    <x v="1"/>
    <x v="2"/>
    <x v="2"/>
    <s v="Phoenix"/>
    <s v="No"/>
    <s v="Walmart"/>
    <s v="Paid"/>
    <x v="0"/>
    <x v="2"/>
    <n v="2025"/>
    <x v="1"/>
  </r>
  <r>
    <n v="4"/>
    <d v="2025-08-08T00:00:00"/>
    <x v="0"/>
    <s v="Sample expense 4"/>
    <x v="0"/>
    <x v="3"/>
    <x v="3"/>
    <s v="Phoenix"/>
    <s v="No"/>
    <s v="Macy's"/>
    <s v="Paid"/>
    <x v="0"/>
    <x v="3"/>
    <n v="2025"/>
    <x v="1"/>
  </r>
  <r>
    <n v="5"/>
    <d v="2025-11-08T00:00:00"/>
    <x v="1"/>
    <s v="Sample expense 5"/>
    <x v="2"/>
    <x v="4"/>
    <x v="4"/>
    <s v="Houston"/>
    <s v="Yes"/>
    <s v="Walgreens"/>
    <s v="Paid"/>
    <x v="0"/>
    <x v="0"/>
    <n v="2025"/>
    <x v="1"/>
  </r>
  <r>
    <n v="6"/>
    <d v="2025-10-04T00:00:00"/>
    <x v="3"/>
    <s v="Sample expense 6"/>
    <x v="1"/>
    <x v="5"/>
    <x v="5"/>
    <s v="Miami"/>
    <s v="No"/>
    <s v="Verizon"/>
    <s v="Paid"/>
    <x v="0"/>
    <x v="2"/>
    <n v="2025"/>
    <x v="0"/>
  </r>
  <r>
    <n v="7"/>
    <d v="2025-08-14T00:00:00"/>
    <x v="3"/>
    <s v="Sample expense 7"/>
    <x v="2"/>
    <x v="6"/>
    <x v="6"/>
    <s v="New York"/>
    <s v="No"/>
    <s v="ComEd"/>
    <s v="Paid"/>
    <x v="0"/>
    <x v="3"/>
    <n v="2025"/>
    <x v="0"/>
  </r>
  <r>
    <n v="8"/>
    <d v="2025-11-04T00:00:00"/>
    <x v="3"/>
    <s v="Sample expense 8"/>
    <x v="2"/>
    <x v="7"/>
    <x v="5"/>
    <s v="New York"/>
    <s v="No"/>
    <s v="ComEd"/>
    <s v="Paid"/>
    <x v="0"/>
    <x v="0"/>
    <n v="2025"/>
    <x v="0"/>
  </r>
  <r>
    <n v="9"/>
    <d v="2025-11-23T00:00:00"/>
    <x v="3"/>
    <s v="Sample expense 9"/>
    <x v="0"/>
    <x v="8"/>
    <x v="6"/>
    <s v="Los Angeles"/>
    <s v="No"/>
    <s v="City Water"/>
    <s v="Paid"/>
    <x v="0"/>
    <x v="0"/>
    <n v="2025"/>
    <x v="1"/>
  </r>
  <r>
    <n v="10"/>
    <d v="2025-10-07T00:00:00"/>
    <x v="3"/>
    <s v="Sample expense 10"/>
    <x v="0"/>
    <x v="9"/>
    <x v="5"/>
    <s v="Houston"/>
    <s v="No"/>
    <s v="GasCo"/>
    <s v="Paid"/>
    <x v="0"/>
    <x v="2"/>
    <n v="2025"/>
    <x v="1"/>
  </r>
  <r>
    <n v="11"/>
    <d v="2025-10-20T00:00:00"/>
    <x v="1"/>
    <s v="Sample expense 11"/>
    <x v="0"/>
    <x v="10"/>
    <x v="4"/>
    <s v="Los Angeles"/>
    <s v="Yes"/>
    <s v="City Hospital"/>
    <s v="Paid"/>
    <x v="0"/>
    <x v="2"/>
    <n v="2025"/>
    <x v="1"/>
  </r>
  <r>
    <n v="12"/>
    <d v="2025-11-18T00:00:00"/>
    <x v="1"/>
    <s v="Sample expense 12"/>
    <x v="0"/>
    <x v="11"/>
    <x v="1"/>
    <s v="Los Angeles"/>
    <s v="No"/>
    <s v="HealthCare Inc"/>
    <s v="Paid"/>
    <x v="0"/>
    <x v="0"/>
    <n v="2025"/>
    <x v="1"/>
  </r>
  <r>
    <n v="13"/>
    <d v="2025-11-01T00:00:00"/>
    <x v="4"/>
    <s v="Sample expense 13"/>
    <x v="0"/>
    <x v="12"/>
    <x v="7"/>
    <s v="Los Angeles"/>
    <s v="No"/>
    <s v="Shell Fuel"/>
    <s v="Paid"/>
    <x v="0"/>
    <x v="0"/>
    <n v="2025"/>
    <x v="1"/>
  </r>
  <r>
    <n v="14"/>
    <d v="2025-11-05T00:00:00"/>
    <x v="5"/>
    <s v="Sample expense 14"/>
    <x v="1"/>
    <x v="13"/>
    <x v="8"/>
    <s v="Miami"/>
    <s v="No"/>
    <s v="ABC Realty"/>
    <s v="Paid"/>
    <x v="0"/>
    <x v="0"/>
    <n v="2025"/>
    <x v="0"/>
  </r>
  <r>
    <n v="15"/>
    <d v="2025-12-23T00:00:00"/>
    <x v="6"/>
    <s v="Sample expense 15"/>
    <x v="2"/>
    <x v="14"/>
    <x v="9"/>
    <s v="Miami"/>
    <s v="No"/>
    <s v="PlayStation Store"/>
    <s v="Paid"/>
    <x v="0"/>
    <x v="4"/>
    <n v="2025"/>
    <x v="0"/>
  </r>
  <r>
    <n v="16"/>
    <d v="2025-12-02T00:00:00"/>
    <x v="3"/>
    <s v="Sample expense 16"/>
    <x v="2"/>
    <x v="15"/>
    <x v="6"/>
    <s v="Chicago"/>
    <s v="Yes"/>
    <s v="ComEd"/>
    <s v="Paid"/>
    <x v="0"/>
    <x v="4"/>
    <n v="2025"/>
    <x v="1"/>
  </r>
  <r>
    <n v="17"/>
    <d v="2025-12-21T00:00:00"/>
    <x v="2"/>
    <s v="Sample expense 17"/>
    <x v="2"/>
    <x v="16"/>
    <x v="10"/>
    <s v="Chicago"/>
    <s v="No"/>
    <s v="Domino's"/>
    <s v="Paid"/>
    <x v="0"/>
    <x v="4"/>
    <n v="2025"/>
    <x v="0"/>
  </r>
  <r>
    <n v="18"/>
    <d v="2025-09-15T00:00:00"/>
    <x v="6"/>
    <s v="Sample expense 18"/>
    <x v="2"/>
    <x v="17"/>
    <x v="9"/>
    <s v="Los Angeles"/>
    <s v="No"/>
    <s v="AMC"/>
    <s v="Paid"/>
    <x v="0"/>
    <x v="5"/>
    <n v="2025"/>
    <x v="0"/>
  </r>
  <r>
    <n v="19"/>
    <d v="2025-07-26T00:00:00"/>
    <x v="1"/>
    <s v="Sample expense 19"/>
    <x v="0"/>
    <x v="18"/>
    <x v="4"/>
    <s v="Houston"/>
    <s v="No"/>
    <s v="Walgreens"/>
    <s v="Paid"/>
    <x v="0"/>
    <x v="6"/>
    <n v="2025"/>
    <x v="1"/>
  </r>
  <r>
    <n v="20"/>
    <d v="2025-10-20T00:00:00"/>
    <x v="2"/>
    <s v="Sample expense 20"/>
    <x v="2"/>
    <x v="19"/>
    <x v="11"/>
    <s v="New York"/>
    <s v="No"/>
    <s v="Walmart"/>
    <s v="Paid"/>
    <x v="0"/>
    <x v="2"/>
    <n v="2025"/>
    <x v="0"/>
  </r>
  <r>
    <n v="21"/>
    <d v="2025-12-29T00:00:00"/>
    <x v="2"/>
    <s v="Sample expense 21"/>
    <x v="1"/>
    <x v="20"/>
    <x v="10"/>
    <s v="Miami"/>
    <s v="No"/>
    <s v="Domino's"/>
    <s v="Paid"/>
    <x v="0"/>
    <x v="4"/>
    <n v="2025"/>
    <x v="1"/>
  </r>
  <r>
    <n v="22"/>
    <d v="2025-08-31T00:00:00"/>
    <x v="2"/>
    <s v="Sample expense 22"/>
    <x v="1"/>
    <x v="21"/>
    <x v="11"/>
    <s v="Houston"/>
    <s v="No"/>
    <s v="Subway"/>
    <s v="Paid"/>
    <x v="0"/>
    <x v="3"/>
    <n v="2025"/>
    <x v="1"/>
  </r>
  <r>
    <n v="23"/>
    <d v="2025-12-01T00:00:00"/>
    <x v="4"/>
    <s v="Sample expense 23"/>
    <x v="2"/>
    <x v="22"/>
    <x v="12"/>
    <s v="Phoenix"/>
    <s v="No"/>
    <s v="Delta Airlines"/>
    <s v="Paid"/>
    <x v="0"/>
    <x v="4"/>
    <n v="2025"/>
    <x v="1"/>
  </r>
  <r>
    <n v="24"/>
    <d v="2025-08-14T00:00:00"/>
    <x v="1"/>
    <s v="Sample expense 24"/>
    <x v="2"/>
    <x v="23"/>
    <x v="1"/>
    <s v="Miami"/>
    <s v="No"/>
    <s v="CVS"/>
    <s v="Paid"/>
    <x v="0"/>
    <x v="3"/>
    <n v="2025"/>
    <x v="0"/>
  </r>
  <r>
    <n v="25"/>
    <d v="2026-01-01T00:00:00"/>
    <x v="2"/>
    <s v="Sample expense 25"/>
    <x v="1"/>
    <x v="24"/>
    <x v="10"/>
    <s v="Miami"/>
    <s v="Yes"/>
    <s v="Starbucks"/>
    <s v="Paid"/>
    <x v="0"/>
    <x v="1"/>
    <n v="2026"/>
    <x v="1"/>
  </r>
  <r>
    <n v="26"/>
    <d v="2025-09-20T00:00:00"/>
    <x v="3"/>
    <s v="Sample expense 26"/>
    <x v="1"/>
    <x v="25"/>
    <x v="13"/>
    <s v="Chicago"/>
    <s v="Yes"/>
    <s v="City Water"/>
    <s v="Paid"/>
    <x v="0"/>
    <x v="5"/>
    <n v="2025"/>
    <x v="1"/>
  </r>
  <r>
    <n v="27"/>
    <d v="2025-08-15T00:00:00"/>
    <x v="0"/>
    <s v="Sample expense 27"/>
    <x v="0"/>
    <x v="26"/>
    <x v="14"/>
    <s v="New York"/>
    <s v="No"/>
    <s v="Amazon"/>
    <s v="Paid"/>
    <x v="0"/>
    <x v="3"/>
    <n v="2025"/>
    <x v="1"/>
  </r>
  <r>
    <n v="28"/>
    <d v="2025-10-21T00:00:00"/>
    <x v="2"/>
    <s v="Sample expense 28"/>
    <x v="1"/>
    <x v="27"/>
    <x v="10"/>
    <s v="New York"/>
    <s v="Yes"/>
    <s v="Starbucks"/>
    <s v="Paid"/>
    <x v="0"/>
    <x v="2"/>
    <n v="2025"/>
    <x v="1"/>
  </r>
  <r>
    <n v="29"/>
    <d v="2025-09-11T00:00:00"/>
    <x v="4"/>
    <s v="Sample expense 29"/>
    <x v="0"/>
    <x v="28"/>
    <x v="15"/>
    <s v="Phoenix"/>
    <s v="Yes"/>
    <s v="Shell Fuel"/>
    <s v="Paid"/>
    <x v="0"/>
    <x v="5"/>
    <n v="2025"/>
    <x v="0"/>
  </r>
  <r>
    <n v="30"/>
    <d v="2025-09-21T00:00:00"/>
    <x v="6"/>
    <s v="Sample expense 30"/>
    <x v="0"/>
    <x v="29"/>
    <x v="9"/>
    <s v="Phoenix"/>
    <s v="No"/>
    <s v="Netflix"/>
    <s v="Paid"/>
    <x v="0"/>
    <x v="5"/>
    <n v="2025"/>
    <x v="0"/>
  </r>
  <r>
    <n v="31"/>
    <d v="2026-01-10T00:00:00"/>
    <x v="1"/>
    <s v="Sample expense 31"/>
    <x v="0"/>
    <x v="30"/>
    <x v="16"/>
    <s v="Miami"/>
    <s v="Yes"/>
    <s v="Walgreens"/>
    <s v="Paid"/>
    <x v="0"/>
    <x v="1"/>
    <n v="2026"/>
    <x v="1"/>
  </r>
  <r>
    <n v="32"/>
    <d v="2025-08-08T00:00:00"/>
    <x v="4"/>
    <s v="Sample expense 32"/>
    <x v="0"/>
    <x v="31"/>
    <x v="15"/>
    <s v="Los Angeles"/>
    <s v="No"/>
    <s v="Greyhound"/>
    <s v="Paid"/>
    <x v="0"/>
    <x v="3"/>
    <n v="2025"/>
    <x v="1"/>
  </r>
  <r>
    <n v="33"/>
    <d v="2026-01-15T00:00:00"/>
    <x v="2"/>
    <s v="Sample expense 33"/>
    <x v="0"/>
    <x v="32"/>
    <x v="17"/>
    <s v="Chicago"/>
    <s v="Yes"/>
    <s v="Subway"/>
    <s v="Paid"/>
    <x v="0"/>
    <x v="1"/>
    <n v="2026"/>
    <x v="1"/>
  </r>
  <r>
    <n v="34"/>
    <d v="2025-09-13T00:00:00"/>
    <x v="1"/>
    <s v="Sample expense 34"/>
    <x v="2"/>
    <x v="33"/>
    <x v="1"/>
    <s v="Chicago"/>
    <s v="No"/>
    <s v="CVS"/>
    <s v="Paid"/>
    <x v="0"/>
    <x v="5"/>
    <n v="2025"/>
    <x v="1"/>
  </r>
  <r>
    <n v="35"/>
    <d v="2025-11-09T00:00:00"/>
    <x v="0"/>
    <s v="Sample expense 35"/>
    <x v="1"/>
    <x v="34"/>
    <x v="14"/>
    <s v="Miami"/>
    <s v="No"/>
    <s v="Target"/>
    <s v="Paid"/>
    <x v="0"/>
    <x v="0"/>
    <n v="2025"/>
    <x v="1"/>
  </r>
  <r>
    <n v="36"/>
    <d v="2025-09-17T00:00:00"/>
    <x v="2"/>
    <s v="Sample expense 36"/>
    <x v="0"/>
    <x v="35"/>
    <x v="2"/>
    <s v="Houston"/>
    <s v="No"/>
    <s v="Walmart"/>
    <s v="Paid"/>
    <x v="0"/>
    <x v="5"/>
    <n v="2025"/>
    <x v="1"/>
  </r>
  <r>
    <n v="37"/>
    <d v="2025-09-26T00:00:00"/>
    <x v="4"/>
    <s v="Sample expense 37"/>
    <x v="1"/>
    <x v="36"/>
    <x v="18"/>
    <s v="Los Angeles"/>
    <s v="Yes"/>
    <s v="Uber"/>
    <s v="Paid"/>
    <x v="0"/>
    <x v="5"/>
    <n v="2025"/>
    <x v="1"/>
  </r>
  <r>
    <n v="38"/>
    <d v="2025-12-02T00:00:00"/>
    <x v="5"/>
    <s v="Sample expense 38"/>
    <x v="1"/>
    <x v="37"/>
    <x v="8"/>
    <s v="Miami"/>
    <s v="No"/>
    <s v="HomeStay"/>
    <s v="Paid"/>
    <x v="0"/>
    <x v="4"/>
    <n v="2025"/>
    <x v="0"/>
  </r>
  <r>
    <n v="39"/>
    <d v="2025-09-13T00:00:00"/>
    <x v="3"/>
    <s v="Sample expense 39"/>
    <x v="0"/>
    <x v="38"/>
    <x v="13"/>
    <s v="Los Angeles"/>
    <s v="No"/>
    <s v="Verizon"/>
    <s v="Paid"/>
    <x v="0"/>
    <x v="5"/>
    <n v="2025"/>
    <x v="0"/>
  </r>
  <r>
    <n v="40"/>
    <d v="2025-12-06T00:00:00"/>
    <x v="6"/>
    <s v="Sample expense 40"/>
    <x v="2"/>
    <x v="39"/>
    <x v="19"/>
    <s v="Los Angeles"/>
    <s v="No"/>
    <s v="PlayStation Store"/>
    <s v="Paid"/>
    <x v="0"/>
    <x v="4"/>
    <n v="2025"/>
    <x v="1"/>
  </r>
  <r>
    <n v="41"/>
    <d v="2025-08-14T00:00:00"/>
    <x v="4"/>
    <s v="Sample expense 41"/>
    <x v="0"/>
    <x v="40"/>
    <x v="12"/>
    <s v="Los Angeles"/>
    <s v="No"/>
    <s v="Delta Airlines"/>
    <s v="Paid"/>
    <x v="0"/>
    <x v="3"/>
    <n v="2025"/>
    <x v="1"/>
  </r>
  <r>
    <n v="42"/>
    <d v="2025-10-05T00:00:00"/>
    <x v="1"/>
    <s v="Sample expense 42"/>
    <x v="2"/>
    <x v="41"/>
    <x v="20"/>
    <s v="Miami"/>
    <s v="No"/>
    <s v="HealthCare Inc"/>
    <s v="Paid"/>
    <x v="0"/>
    <x v="2"/>
    <n v="2025"/>
    <x v="0"/>
  </r>
  <r>
    <n v="43"/>
    <d v="2026-01-07T00:00:00"/>
    <x v="2"/>
    <s v="Sample expense 43"/>
    <x v="1"/>
    <x v="42"/>
    <x v="10"/>
    <s v="Chicago"/>
    <s v="Yes"/>
    <s v="Walmart"/>
    <s v="Paid"/>
    <x v="0"/>
    <x v="1"/>
    <n v="2026"/>
    <x v="1"/>
  </r>
  <r>
    <n v="44"/>
    <d v="2025-08-11T00:00:00"/>
    <x v="3"/>
    <s v="Sample expense 44"/>
    <x v="2"/>
    <x v="43"/>
    <x v="6"/>
    <s v="Chicago"/>
    <s v="No"/>
    <s v="ComEd"/>
    <s v="Paid"/>
    <x v="0"/>
    <x v="3"/>
    <n v="2025"/>
    <x v="0"/>
  </r>
  <r>
    <n v="45"/>
    <d v="2025-12-03T00:00:00"/>
    <x v="2"/>
    <s v="Sample expense 45"/>
    <x v="2"/>
    <x v="44"/>
    <x v="11"/>
    <s v="Los Angeles"/>
    <s v="No"/>
    <s v="Subway"/>
    <s v="Paid"/>
    <x v="0"/>
    <x v="4"/>
    <n v="2025"/>
    <x v="0"/>
  </r>
  <r>
    <n v="46"/>
    <d v="2025-10-21T00:00:00"/>
    <x v="1"/>
    <s v="Sample expense 46"/>
    <x v="2"/>
    <x v="45"/>
    <x v="20"/>
    <s v="Houston"/>
    <s v="No"/>
    <s v="Walgreens"/>
    <s v="Paid"/>
    <x v="0"/>
    <x v="2"/>
    <n v="2025"/>
    <x v="1"/>
  </r>
  <r>
    <n v="47"/>
    <d v="2025-09-22T00:00:00"/>
    <x v="2"/>
    <s v="Sample expense 47"/>
    <x v="1"/>
    <x v="46"/>
    <x v="17"/>
    <s v="New York"/>
    <s v="No"/>
    <s v="Subway"/>
    <s v="Paid"/>
    <x v="0"/>
    <x v="5"/>
    <n v="2025"/>
    <x v="1"/>
  </r>
  <r>
    <n v="48"/>
    <d v="2025-08-07T00:00:00"/>
    <x v="5"/>
    <s v="Sample expense 48"/>
    <x v="1"/>
    <x v="47"/>
    <x v="21"/>
    <s v="Miami"/>
    <s v="No"/>
    <s v="OfficeLease"/>
    <s v="Paid"/>
    <x v="0"/>
    <x v="3"/>
    <n v="2025"/>
    <x v="0"/>
  </r>
  <r>
    <n v="49"/>
    <d v="2025-08-02T00:00:00"/>
    <x v="3"/>
    <s v="Sample expense 49"/>
    <x v="2"/>
    <x v="48"/>
    <x v="6"/>
    <s v="New York"/>
    <s v="No"/>
    <s v="GasCo"/>
    <s v="Paid"/>
    <x v="0"/>
    <x v="3"/>
    <n v="2025"/>
    <x v="1"/>
  </r>
  <r>
    <n v="50"/>
    <d v="2025-10-22T00:00:00"/>
    <x v="3"/>
    <s v="Sample expense 50"/>
    <x v="2"/>
    <x v="49"/>
    <x v="22"/>
    <s v="Houston"/>
    <s v="Yes"/>
    <s v="City Water"/>
    <s v="Pending"/>
    <x v="0"/>
    <x v="2"/>
    <n v="2025"/>
    <x v="1"/>
  </r>
  <r>
    <n v="51"/>
    <d v="2025-09-15T00:00:00"/>
    <x v="1"/>
    <s v="Sample expense 51"/>
    <x v="0"/>
    <x v="50"/>
    <x v="16"/>
    <s v="Miami"/>
    <s v="No"/>
    <s v="CVS"/>
    <s v="Paid"/>
    <x v="0"/>
    <x v="5"/>
    <n v="2025"/>
    <x v="0"/>
  </r>
  <r>
    <n v="52"/>
    <d v="2025-12-01T00:00:00"/>
    <x v="6"/>
    <s v="Sample expense 52"/>
    <x v="2"/>
    <x v="51"/>
    <x v="23"/>
    <s v="Los Angeles"/>
    <s v="No"/>
    <s v="AMC"/>
    <s v="Paid"/>
    <x v="0"/>
    <x v="4"/>
    <n v="2025"/>
    <x v="1"/>
  </r>
  <r>
    <n v="53"/>
    <d v="2025-10-16T00:00:00"/>
    <x v="5"/>
    <s v="Sample expense 53"/>
    <x v="0"/>
    <x v="52"/>
    <x v="8"/>
    <s v="Chicago"/>
    <s v="No"/>
    <s v="ABC Realty"/>
    <s v="Paid"/>
    <x v="0"/>
    <x v="2"/>
    <n v="2025"/>
    <x v="1"/>
  </r>
  <r>
    <n v="54"/>
    <d v="2025-10-24T00:00:00"/>
    <x v="4"/>
    <s v="Sample expense 54"/>
    <x v="2"/>
    <x v="53"/>
    <x v="7"/>
    <s v="New York"/>
    <s v="No"/>
    <s v="Uber"/>
    <s v="Paid"/>
    <x v="0"/>
    <x v="2"/>
    <n v="2025"/>
    <x v="0"/>
  </r>
  <r>
    <n v="55"/>
    <d v="2025-11-12T00:00:00"/>
    <x v="2"/>
    <s v="Sample expense 55"/>
    <x v="0"/>
    <x v="54"/>
    <x v="17"/>
    <s v="Phoenix"/>
    <s v="Yes"/>
    <s v="Walmart"/>
    <s v="Paid"/>
    <x v="0"/>
    <x v="0"/>
    <n v="2025"/>
    <x v="1"/>
  </r>
  <r>
    <n v="56"/>
    <d v="2026-01-12T00:00:00"/>
    <x v="0"/>
    <s v="Sample expense 56"/>
    <x v="1"/>
    <x v="55"/>
    <x v="3"/>
    <s v="Phoenix"/>
    <s v="No"/>
    <s v="Target"/>
    <s v="Paid"/>
    <x v="0"/>
    <x v="1"/>
    <n v="2026"/>
    <x v="1"/>
  </r>
  <r>
    <n v="57"/>
    <d v="2025-08-01T00:00:00"/>
    <x v="2"/>
    <s v="Sample expense 57"/>
    <x v="2"/>
    <x v="56"/>
    <x v="11"/>
    <s v="Houston"/>
    <s v="No"/>
    <s v="Domino's"/>
    <s v="Paid"/>
    <x v="0"/>
    <x v="3"/>
    <n v="2025"/>
    <x v="0"/>
  </r>
  <r>
    <n v="58"/>
    <d v="2026-01-15T00:00:00"/>
    <x v="2"/>
    <s v="Sample expense 58"/>
    <x v="2"/>
    <x v="57"/>
    <x v="2"/>
    <s v="Los Angeles"/>
    <s v="No"/>
    <s v="Walmart"/>
    <s v="Paid"/>
    <x v="0"/>
    <x v="1"/>
    <n v="2026"/>
    <x v="1"/>
  </r>
  <r>
    <n v="59"/>
    <d v="2025-08-28T00:00:00"/>
    <x v="4"/>
    <s v="Sample expense 59"/>
    <x v="2"/>
    <x v="58"/>
    <x v="24"/>
    <s v="New York"/>
    <s v="Yes"/>
    <s v="Uber"/>
    <s v="Paid"/>
    <x v="0"/>
    <x v="3"/>
    <n v="2025"/>
    <x v="0"/>
  </r>
  <r>
    <n v="60"/>
    <d v="2025-10-13T00:00:00"/>
    <x v="2"/>
    <s v="Sample expense 60"/>
    <x v="2"/>
    <x v="59"/>
    <x v="2"/>
    <s v="Los Angeles"/>
    <s v="No"/>
    <s v="Starbucks"/>
    <s v="Paid"/>
    <x v="0"/>
    <x v="2"/>
    <n v="2025"/>
    <x v="0"/>
  </r>
  <r>
    <n v="61"/>
    <d v="2026-01-04T00:00:00"/>
    <x v="5"/>
    <s v="Sample expense 61"/>
    <x v="0"/>
    <x v="60"/>
    <x v="21"/>
    <s v="New York"/>
    <s v="No"/>
    <s v="ABC Realty"/>
    <s v="Paid"/>
    <x v="0"/>
    <x v="1"/>
    <n v="2026"/>
    <x v="1"/>
  </r>
  <r>
    <n v="62"/>
    <d v="2025-09-12T00:00:00"/>
    <x v="5"/>
    <s v="Sample expense 62"/>
    <x v="2"/>
    <x v="61"/>
    <x v="25"/>
    <s v="Houston"/>
    <s v="Yes"/>
    <s v="OfficeLease"/>
    <s v="Paid"/>
    <x v="0"/>
    <x v="5"/>
    <n v="2025"/>
    <x v="1"/>
  </r>
  <r>
    <n v="63"/>
    <d v="2025-11-05T00:00:00"/>
    <x v="3"/>
    <s v="Sample expense 63"/>
    <x v="1"/>
    <x v="62"/>
    <x v="13"/>
    <s v="Houston"/>
    <s v="No"/>
    <s v="City Water"/>
    <s v="Paid"/>
    <x v="0"/>
    <x v="0"/>
    <n v="2025"/>
    <x v="1"/>
  </r>
  <r>
    <n v="64"/>
    <d v="2025-12-03T00:00:00"/>
    <x v="1"/>
    <s v="Sample expense 64"/>
    <x v="1"/>
    <x v="63"/>
    <x v="1"/>
    <s v="Phoenix"/>
    <s v="Yes"/>
    <s v="City Hospital"/>
    <s v="Paid"/>
    <x v="0"/>
    <x v="4"/>
    <n v="2025"/>
    <x v="1"/>
  </r>
  <r>
    <n v="65"/>
    <d v="2025-07-26T00:00:00"/>
    <x v="6"/>
    <s v="Sample expense 65"/>
    <x v="2"/>
    <x v="64"/>
    <x v="26"/>
    <s v="Los Angeles"/>
    <s v="Yes"/>
    <s v="Netflix"/>
    <s v="Pending"/>
    <x v="0"/>
    <x v="6"/>
    <n v="2025"/>
    <x v="1"/>
  </r>
  <r>
    <n v="66"/>
    <d v="2025-12-05T00:00:00"/>
    <x v="0"/>
    <s v="Sample expense 66"/>
    <x v="1"/>
    <x v="65"/>
    <x v="3"/>
    <s v="Miami"/>
    <s v="No"/>
    <s v="Target"/>
    <s v="Paid"/>
    <x v="0"/>
    <x v="4"/>
    <n v="2025"/>
    <x v="0"/>
  </r>
  <r>
    <n v="67"/>
    <d v="2025-09-16T00:00:00"/>
    <x v="2"/>
    <s v="Sample expense 67"/>
    <x v="2"/>
    <x v="66"/>
    <x v="11"/>
    <s v="Phoenix"/>
    <s v="No"/>
    <s v="Subway"/>
    <s v="Paid"/>
    <x v="0"/>
    <x v="5"/>
    <n v="2025"/>
    <x v="1"/>
  </r>
  <r>
    <n v="68"/>
    <d v="2025-11-07T00:00:00"/>
    <x v="2"/>
    <s v="Sample expense 68"/>
    <x v="2"/>
    <x v="67"/>
    <x v="2"/>
    <s v="Los Angeles"/>
    <s v="No"/>
    <s v="Starbucks"/>
    <s v="Paid"/>
    <x v="0"/>
    <x v="0"/>
    <n v="2025"/>
    <x v="1"/>
  </r>
  <r>
    <n v="69"/>
    <d v="2025-07-28T00:00:00"/>
    <x v="4"/>
    <s v="Sample expense 69"/>
    <x v="1"/>
    <x v="68"/>
    <x v="12"/>
    <s v="Phoenix"/>
    <s v="No"/>
    <s v="Delta Airlines"/>
    <s v="Paid"/>
    <x v="0"/>
    <x v="6"/>
    <n v="2025"/>
    <x v="0"/>
  </r>
  <r>
    <n v="70"/>
    <d v="2025-09-16T00:00:00"/>
    <x v="1"/>
    <s v="Sample expense 70"/>
    <x v="2"/>
    <x v="69"/>
    <x v="1"/>
    <s v="Miami"/>
    <s v="No"/>
    <s v="HealthCare Inc"/>
    <s v="Pending"/>
    <x v="0"/>
    <x v="5"/>
    <n v="2025"/>
    <x v="1"/>
  </r>
  <r>
    <n v="71"/>
    <d v="2025-12-17T00:00:00"/>
    <x v="5"/>
    <s v="Sample expense 71"/>
    <x v="1"/>
    <x v="70"/>
    <x v="21"/>
    <s v="Chicago"/>
    <s v="No"/>
    <s v="HomeStay"/>
    <s v="Paid"/>
    <x v="0"/>
    <x v="4"/>
    <n v="2025"/>
    <x v="0"/>
  </r>
  <r>
    <n v="72"/>
    <d v="2025-09-06T00:00:00"/>
    <x v="0"/>
    <s v="Sample expense 72"/>
    <x v="0"/>
    <x v="71"/>
    <x v="14"/>
    <s v="Chicago"/>
    <s v="No"/>
    <s v="Best Buy"/>
    <s v="Paid"/>
    <x v="0"/>
    <x v="5"/>
    <n v="2025"/>
    <x v="1"/>
  </r>
  <r>
    <n v="73"/>
    <d v="2026-01-02T00:00:00"/>
    <x v="3"/>
    <s v="Sample expense 73"/>
    <x v="2"/>
    <x v="72"/>
    <x v="13"/>
    <s v="Chicago"/>
    <s v="No"/>
    <s v="Verizon"/>
    <s v="Paid"/>
    <x v="0"/>
    <x v="1"/>
    <n v="2026"/>
    <x v="1"/>
  </r>
  <r>
    <n v="74"/>
    <d v="2025-08-07T00:00:00"/>
    <x v="5"/>
    <s v="Sample expense 74"/>
    <x v="0"/>
    <x v="73"/>
    <x v="8"/>
    <s v="Chicago"/>
    <s v="No"/>
    <s v="OfficeLease"/>
    <s v="Paid"/>
    <x v="0"/>
    <x v="3"/>
    <n v="2025"/>
    <x v="0"/>
  </r>
  <r>
    <n v="75"/>
    <d v="2025-10-27T00:00:00"/>
    <x v="1"/>
    <s v="Sample expense 75"/>
    <x v="1"/>
    <x v="74"/>
    <x v="16"/>
    <s v="New York"/>
    <s v="No"/>
    <s v="CVS"/>
    <s v="Paid"/>
    <x v="0"/>
    <x v="2"/>
    <n v="2025"/>
    <x v="0"/>
  </r>
  <r>
    <n v="76"/>
    <d v="2025-09-10T00:00:00"/>
    <x v="6"/>
    <s v="Sample expense 76"/>
    <x v="0"/>
    <x v="75"/>
    <x v="23"/>
    <s v="Chicago"/>
    <s v="No"/>
    <s v="PlayStation Store"/>
    <s v="Paid"/>
    <x v="0"/>
    <x v="5"/>
    <n v="2025"/>
    <x v="0"/>
  </r>
  <r>
    <n v="77"/>
    <d v="2025-08-08T00:00:00"/>
    <x v="3"/>
    <s v="Sample expense 77"/>
    <x v="0"/>
    <x v="76"/>
    <x v="6"/>
    <s v="Miami"/>
    <s v="No"/>
    <s v="City Water"/>
    <s v="Paid"/>
    <x v="0"/>
    <x v="3"/>
    <n v="2025"/>
    <x v="0"/>
  </r>
  <r>
    <n v="78"/>
    <d v="2025-09-02T00:00:00"/>
    <x v="6"/>
    <s v="Sample expense 78"/>
    <x v="1"/>
    <x v="77"/>
    <x v="19"/>
    <s v="Houston"/>
    <s v="No"/>
    <s v="AMC"/>
    <s v="Paid"/>
    <x v="0"/>
    <x v="5"/>
    <n v="2025"/>
    <x v="0"/>
  </r>
  <r>
    <n v="79"/>
    <d v="2025-10-14T00:00:00"/>
    <x v="4"/>
    <s v="Sample expense 79"/>
    <x v="0"/>
    <x v="78"/>
    <x v="7"/>
    <s v="Houston"/>
    <s v="Yes"/>
    <s v="Shell Fuel"/>
    <s v="Paid"/>
    <x v="0"/>
    <x v="2"/>
    <n v="2025"/>
    <x v="1"/>
  </r>
  <r>
    <n v="80"/>
    <d v="2025-11-12T00:00:00"/>
    <x v="4"/>
    <s v="Sample expense 80"/>
    <x v="0"/>
    <x v="79"/>
    <x v="15"/>
    <s v="New York"/>
    <s v="No"/>
    <s v="Greyhound"/>
    <s v="Pending"/>
    <x v="0"/>
    <x v="0"/>
    <n v="2025"/>
    <x v="1"/>
  </r>
  <r>
    <n v="81"/>
    <d v="2025-09-15T00:00:00"/>
    <x v="2"/>
    <s v="Sample expense 81"/>
    <x v="1"/>
    <x v="80"/>
    <x v="2"/>
    <s v="Chicago"/>
    <s v="No"/>
    <s v="Subway"/>
    <s v="Paid"/>
    <x v="0"/>
    <x v="5"/>
    <n v="2025"/>
    <x v="0"/>
  </r>
  <r>
    <n v="82"/>
    <d v="2025-08-17T00:00:00"/>
    <x v="6"/>
    <s v="Sample expense 82"/>
    <x v="0"/>
    <x v="81"/>
    <x v="19"/>
    <s v="Chicago"/>
    <s v="Yes"/>
    <s v="Spotify"/>
    <s v="Paid"/>
    <x v="0"/>
    <x v="3"/>
    <n v="2025"/>
    <x v="0"/>
  </r>
  <r>
    <n v="83"/>
    <d v="2025-12-25T00:00:00"/>
    <x v="1"/>
    <s v="Sample expense 83"/>
    <x v="1"/>
    <x v="82"/>
    <x v="1"/>
    <s v="Chicago"/>
    <s v="Yes"/>
    <s v="City Hospital"/>
    <s v="Paid"/>
    <x v="0"/>
    <x v="4"/>
    <n v="2025"/>
    <x v="0"/>
  </r>
  <r>
    <n v="84"/>
    <d v="2025-11-25T00:00:00"/>
    <x v="0"/>
    <s v="Sample expense 84"/>
    <x v="0"/>
    <x v="83"/>
    <x v="3"/>
    <s v="Phoenix"/>
    <s v="No"/>
    <s v="Amazon"/>
    <s v="Paid"/>
    <x v="0"/>
    <x v="0"/>
    <n v="2025"/>
    <x v="1"/>
  </r>
  <r>
    <n v="85"/>
    <d v="2025-09-03T00:00:00"/>
    <x v="3"/>
    <s v="Sample expense 85"/>
    <x v="1"/>
    <x v="84"/>
    <x v="6"/>
    <s v="Los Angeles"/>
    <s v="No"/>
    <s v="City Water"/>
    <s v="Paid"/>
    <x v="0"/>
    <x v="5"/>
    <n v="2025"/>
    <x v="1"/>
  </r>
  <r>
    <n v="86"/>
    <d v="2025-12-28T00:00:00"/>
    <x v="5"/>
    <s v="Sample expense 86"/>
    <x v="1"/>
    <x v="85"/>
    <x v="21"/>
    <s v="Phoenix"/>
    <s v="No"/>
    <s v="HomeStay"/>
    <s v="Pending"/>
    <x v="0"/>
    <x v="4"/>
    <n v="2025"/>
    <x v="0"/>
  </r>
  <r>
    <n v="87"/>
    <d v="2025-08-08T00:00:00"/>
    <x v="1"/>
    <s v="Sample expense 87"/>
    <x v="0"/>
    <x v="86"/>
    <x v="16"/>
    <s v="Los Angeles"/>
    <s v="Yes"/>
    <s v="CVS"/>
    <s v="Paid"/>
    <x v="0"/>
    <x v="3"/>
    <n v="2025"/>
    <x v="1"/>
  </r>
  <r>
    <n v="88"/>
    <d v="2025-09-07T00:00:00"/>
    <x v="1"/>
    <s v="Sample expense 88"/>
    <x v="0"/>
    <x v="87"/>
    <x v="20"/>
    <s v="Chicago"/>
    <s v="No"/>
    <s v="City Hospital"/>
    <s v="Paid"/>
    <x v="0"/>
    <x v="5"/>
    <n v="2025"/>
    <x v="0"/>
  </r>
  <r>
    <n v="89"/>
    <d v="2025-09-27T00:00:00"/>
    <x v="4"/>
    <s v="Sample expense 89"/>
    <x v="0"/>
    <x v="88"/>
    <x v="15"/>
    <s v="Chicago"/>
    <s v="No"/>
    <s v="Uber"/>
    <s v="Paid"/>
    <x v="0"/>
    <x v="5"/>
    <n v="2025"/>
    <x v="0"/>
  </r>
  <r>
    <n v="90"/>
    <d v="2025-10-21T00:00:00"/>
    <x v="6"/>
    <s v="Sample expense 90"/>
    <x v="2"/>
    <x v="89"/>
    <x v="26"/>
    <s v="Phoenix"/>
    <s v="Yes"/>
    <s v="Netflix"/>
    <s v="Paid"/>
    <x v="0"/>
    <x v="2"/>
    <n v="2025"/>
    <x v="1"/>
  </r>
  <r>
    <n v="91"/>
    <d v="2025-10-03T00:00:00"/>
    <x v="2"/>
    <s v="Sample expense 91"/>
    <x v="2"/>
    <x v="90"/>
    <x v="11"/>
    <s v="Phoenix"/>
    <s v="Yes"/>
    <s v="Walmart"/>
    <s v="Paid"/>
    <x v="0"/>
    <x v="2"/>
    <n v="2025"/>
    <x v="0"/>
  </r>
  <r>
    <n v="92"/>
    <d v="2025-08-02T00:00:00"/>
    <x v="2"/>
    <s v="Sample expense 92"/>
    <x v="2"/>
    <x v="91"/>
    <x v="17"/>
    <s v="Los Angeles"/>
    <s v="No"/>
    <s v="Subway"/>
    <s v="Paid"/>
    <x v="0"/>
    <x v="3"/>
    <n v="2025"/>
    <x v="0"/>
  </r>
  <r>
    <n v="93"/>
    <d v="2025-10-20T00:00:00"/>
    <x v="3"/>
    <s v="Sample expense 93"/>
    <x v="1"/>
    <x v="92"/>
    <x v="13"/>
    <s v="Houston"/>
    <s v="No"/>
    <s v="City Water"/>
    <s v="Paid"/>
    <x v="0"/>
    <x v="2"/>
    <n v="2025"/>
    <x v="1"/>
  </r>
  <r>
    <n v="94"/>
    <d v="2025-11-30T00:00:00"/>
    <x v="4"/>
    <s v="Sample expense 94"/>
    <x v="0"/>
    <x v="93"/>
    <x v="15"/>
    <s v="Los Angeles"/>
    <s v="No"/>
    <s v="Delta Airlines"/>
    <s v="Paid"/>
    <x v="0"/>
    <x v="0"/>
    <n v="2025"/>
    <x v="0"/>
  </r>
  <r>
    <n v="95"/>
    <d v="2025-12-07T00:00:00"/>
    <x v="1"/>
    <s v="Sample expense 95"/>
    <x v="1"/>
    <x v="94"/>
    <x v="20"/>
    <s v="Phoenix"/>
    <s v="No"/>
    <s v="Walgreens"/>
    <s v="Paid"/>
    <x v="0"/>
    <x v="4"/>
    <n v="2025"/>
    <x v="1"/>
  </r>
  <r>
    <n v="96"/>
    <d v="2025-09-25T00:00:00"/>
    <x v="0"/>
    <s v="Sample expense 96"/>
    <x v="2"/>
    <x v="95"/>
    <x v="14"/>
    <s v="Miami"/>
    <s v="No"/>
    <s v="Macy's"/>
    <s v="Paid"/>
    <x v="0"/>
    <x v="5"/>
    <n v="2025"/>
    <x v="0"/>
  </r>
  <r>
    <n v="97"/>
    <d v="2025-12-10T00:00:00"/>
    <x v="4"/>
    <s v="Sample expense 97"/>
    <x v="0"/>
    <x v="96"/>
    <x v="12"/>
    <s v="Phoenix"/>
    <s v="No"/>
    <s v="Delta Airlines"/>
    <s v="Paid"/>
    <x v="0"/>
    <x v="4"/>
    <n v="2025"/>
    <x v="1"/>
  </r>
  <r>
    <n v="98"/>
    <d v="2025-10-13T00:00:00"/>
    <x v="3"/>
    <s v="Sample expense 98"/>
    <x v="1"/>
    <x v="97"/>
    <x v="22"/>
    <s v="Miami"/>
    <s v="No"/>
    <s v="ComEd"/>
    <s v="Paid"/>
    <x v="0"/>
    <x v="2"/>
    <n v="2025"/>
    <x v="0"/>
  </r>
  <r>
    <n v="99"/>
    <d v="2025-12-07T00:00:00"/>
    <x v="3"/>
    <s v="Sample expense 99"/>
    <x v="0"/>
    <x v="98"/>
    <x v="13"/>
    <s v="New York"/>
    <s v="No"/>
    <s v="ComEd"/>
    <s v="Paid"/>
    <x v="0"/>
    <x v="4"/>
    <n v="2025"/>
    <x v="1"/>
  </r>
  <r>
    <n v="100"/>
    <d v="2026-01-03T00:00:00"/>
    <x v="4"/>
    <s v="Sample expense 100"/>
    <x v="1"/>
    <x v="99"/>
    <x v="12"/>
    <s v="Phoenix"/>
    <s v="No"/>
    <s v="Greyhound"/>
    <s v="Paid"/>
    <x v="0"/>
    <x v="1"/>
    <n v="2026"/>
    <x v="1"/>
  </r>
  <r>
    <n v="101"/>
    <d v="2026-01-03T00:00:00"/>
    <x v="3"/>
    <s v="Sample expense 101"/>
    <x v="0"/>
    <x v="100"/>
    <x v="5"/>
    <s v="New York"/>
    <s v="No"/>
    <s v="ComEd"/>
    <s v="Paid"/>
    <x v="0"/>
    <x v="1"/>
    <n v="2026"/>
    <x v="0"/>
  </r>
  <r>
    <n v="102"/>
    <d v="2025-08-26T00:00:00"/>
    <x v="4"/>
    <s v="Sample expense 102"/>
    <x v="2"/>
    <x v="101"/>
    <x v="15"/>
    <s v="Houston"/>
    <s v="No"/>
    <s v="Shell Fuel"/>
    <s v="Paid"/>
    <x v="0"/>
    <x v="3"/>
    <n v="2025"/>
    <x v="1"/>
  </r>
  <r>
    <n v="103"/>
    <d v="2025-11-24T00:00:00"/>
    <x v="5"/>
    <s v="Sample expense 103"/>
    <x v="2"/>
    <x v="102"/>
    <x v="21"/>
    <s v="Los Angeles"/>
    <s v="No"/>
    <s v="ABC Realty"/>
    <s v="Paid"/>
    <x v="0"/>
    <x v="0"/>
    <n v="2025"/>
    <x v="1"/>
  </r>
  <r>
    <n v="104"/>
    <d v="2025-07-29T00:00:00"/>
    <x v="4"/>
    <s v="Sample expense 104"/>
    <x v="0"/>
    <x v="103"/>
    <x v="7"/>
    <s v="Miami"/>
    <s v="No"/>
    <s v="Uber"/>
    <s v="Pending"/>
    <x v="0"/>
    <x v="6"/>
    <n v="2025"/>
    <x v="0"/>
  </r>
  <r>
    <n v="105"/>
    <d v="2025-09-03T00:00:00"/>
    <x v="6"/>
    <s v="Sample expense 105"/>
    <x v="1"/>
    <x v="104"/>
    <x v="26"/>
    <s v="Los Angeles"/>
    <s v="No"/>
    <s v="PlayStation Store"/>
    <s v="Paid"/>
    <x v="0"/>
    <x v="5"/>
    <n v="2025"/>
    <x v="0"/>
  </r>
  <r>
    <n v="106"/>
    <d v="2025-08-21T00:00:00"/>
    <x v="4"/>
    <s v="Sample expense 106"/>
    <x v="2"/>
    <x v="105"/>
    <x v="7"/>
    <s v="New York"/>
    <s v="No"/>
    <s v="Delta Airlines"/>
    <s v="Paid"/>
    <x v="0"/>
    <x v="3"/>
    <n v="2025"/>
    <x v="1"/>
  </r>
  <r>
    <n v="107"/>
    <d v="2025-12-06T00:00:00"/>
    <x v="3"/>
    <s v="Sample expense 107"/>
    <x v="2"/>
    <x v="106"/>
    <x v="22"/>
    <s v="Miami"/>
    <s v="No"/>
    <s v="Verizon"/>
    <s v="Paid"/>
    <x v="0"/>
    <x v="4"/>
    <n v="2025"/>
    <x v="0"/>
  </r>
  <r>
    <n v="108"/>
    <d v="2025-10-04T00:00:00"/>
    <x v="6"/>
    <s v="Sample expense 108"/>
    <x v="2"/>
    <x v="107"/>
    <x v="9"/>
    <s v="Los Angeles"/>
    <s v="No"/>
    <s v="PlayStation Store"/>
    <s v="Paid"/>
    <x v="0"/>
    <x v="2"/>
    <n v="2025"/>
    <x v="1"/>
  </r>
  <r>
    <n v="109"/>
    <d v="2025-08-05T00:00:00"/>
    <x v="3"/>
    <s v="Sample expense 109"/>
    <x v="0"/>
    <x v="108"/>
    <x v="5"/>
    <s v="Phoenix"/>
    <s v="No"/>
    <s v="City Water"/>
    <s v="Paid"/>
    <x v="0"/>
    <x v="3"/>
    <n v="2025"/>
    <x v="1"/>
  </r>
  <r>
    <n v="110"/>
    <d v="2026-01-02T00:00:00"/>
    <x v="2"/>
    <s v="Sample expense 110"/>
    <x v="0"/>
    <x v="109"/>
    <x v="10"/>
    <s v="Chicago"/>
    <s v="No"/>
    <s v="Walmart"/>
    <s v="Paid"/>
    <x v="0"/>
    <x v="1"/>
    <n v="2026"/>
    <x v="1"/>
  </r>
  <r>
    <n v="111"/>
    <d v="2025-08-26T00:00:00"/>
    <x v="2"/>
    <s v="Sample expense 111"/>
    <x v="1"/>
    <x v="110"/>
    <x v="17"/>
    <s v="New York"/>
    <s v="Yes"/>
    <s v="Domino's"/>
    <s v="Paid"/>
    <x v="0"/>
    <x v="3"/>
    <n v="2025"/>
    <x v="0"/>
  </r>
  <r>
    <n v="112"/>
    <d v="2025-09-10T00:00:00"/>
    <x v="6"/>
    <s v="Sample expense 112"/>
    <x v="1"/>
    <x v="111"/>
    <x v="19"/>
    <s v="Los Angeles"/>
    <s v="No"/>
    <s v="Netflix"/>
    <s v="Paid"/>
    <x v="0"/>
    <x v="5"/>
    <n v="2025"/>
    <x v="0"/>
  </r>
  <r>
    <n v="113"/>
    <d v="2025-12-22T00:00:00"/>
    <x v="5"/>
    <s v="Sample expense 113"/>
    <x v="1"/>
    <x v="112"/>
    <x v="25"/>
    <s v="New York"/>
    <s v="No"/>
    <s v="OfficeLease"/>
    <s v="Paid"/>
    <x v="0"/>
    <x v="4"/>
    <n v="2025"/>
    <x v="0"/>
  </r>
  <r>
    <n v="114"/>
    <d v="2025-09-24T00:00:00"/>
    <x v="2"/>
    <s v="Sample expense 114"/>
    <x v="0"/>
    <x v="113"/>
    <x v="17"/>
    <s v="New York"/>
    <s v="No"/>
    <s v="Walmart"/>
    <s v="Paid"/>
    <x v="0"/>
    <x v="5"/>
    <n v="2025"/>
    <x v="0"/>
  </r>
  <r>
    <n v="115"/>
    <d v="2025-08-30T00:00:00"/>
    <x v="4"/>
    <s v="Sample expense 115"/>
    <x v="0"/>
    <x v="114"/>
    <x v="7"/>
    <s v="Miami"/>
    <s v="Yes"/>
    <s v="Shell Fuel"/>
    <s v="Paid"/>
    <x v="0"/>
    <x v="3"/>
    <n v="2025"/>
    <x v="1"/>
  </r>
  <r>
    <n v="116"/>
    <d v="2025-10-31T00:00:00"/>
    <x v="3"/>
    <s v="Sample expense 116"/>
    <x v="1"/>
    <x v="115"/>
    <x v="22"/>
    <s v="Miami"/>
    <s v="No"/>
    <s v="ComEd"/>
    <s v="Paid"/>
    <x v="0"/>
    <x v="2"/>
    <n v="2025"/>
    <x v="1"/>
  </r>
  <r>
    <n v="117"/>
    <d v="2026-01-12T00:00:00"/>
    <x v="2"/>
    <s v="Sample expense 117"/>
    <x v="1"/>
    <x v="116"/>
    <x v="17"/>
    <s v="Chicago"/>
    <s v="No"/>
    <s v="Starbucks"/>
    <s v="Paid"/>
    <x v="0"/>
    <x v="1"/>
    <n v="2026"/>
    <x v="1"/>
  </r>
  <r>
    <n v="118"/>
    <d v="2025-11-05T00:00:00"/>
    <x v="2"/>
    <s v="Sample expense 118"/>
    <x v="0"/>
    <x v="117"/>
    <x v="17"/>
    <s v="Phoenix"/>
    <s v="No"/>
    <s v="Subway"/>
    <s v="Paid"/>
    <x v="0"/>
    <x v="0"/>
    <n v="2025"/>
    <x v="1"/>
  </r>
  <r>
    <n v="119"/>
    <d v="2025-08-28T00:00:00"/>
    <x v="5"/>
    <s v="Sample expense 119"/>
    <x v="1"/>
    <x v="118"/>
    <x v="21"/>
    <s v="New York"/>
    <s v="No"/>
    <s v="OfficeLease"/>
    <s v="Paid"/>
    <x v="0"/>
    <x v="3"/>
    <n v="2025"/>
    <x v="1"/>
  </r>
  <r>
    <n v="120"/>
    <d v="2025-11-02T00:00:00"/>
    <x v="6"/>
    <s v="Sample expense 120"/>
    <x v="2"/>
    <x v="119"/>
    <x v="19"/>
    <s v="Los Angeles"/>
    <s v="No"/>
    <s v="AMC"/>
    <s v="Paid"/>
    <x v="0"/>
    <x v="0"/>
    <n v="2025"/>
    <x v="0"/>
  </r>
  <r>
    <n v="121"/>
    <d v="2026-01-15T00:00:00"/>
    <x v="6"/>
    <s v="Sample expense 121"/>
    <x v="0"/>
    <x v="120"/>
    <x v="19"/>
    <s v="Houston"/>
    <s v="Yes"/>
    <s v="PlayStation Store"/>
    <s v="Paid"/>
    <x v="0"/>
    <x v="1"/>
    <n v="2026"/>
    <x v="1"/>
  </r>
  <r>
    <n v="122"/>
    <d v="2025-12-02T00:00:00"/>
    <x v="1"/>
    <s v="Sample expense 122"/>
    <x v="1"/>
    <x v="121"/>
    <x v="16"/>
    <s v="New York"/>
    <s v="No"/>
    <s v="HealthCare Inc"/>
    <s v="Paid"/>
    <x v="0"/>
    <x v="4"/>
    <n v="2025"/>
    <x v="1"/>
  </r>
  <r>
    <n v="123"/>
    <d v="2025-07-25T00:00:00"/>
    <x v="5"/>
    <s v="Sample expense 123"/>
    <x v="0"/>
    <x v="122"/>
    <x v="21"/>
    <s v="New York"/>
    <s v="No"/>
    <s v="HomeStay"/>
    <s v="Paid"/>
    <x v="0"/>
    <x v="6"/>
    <n v="2025"/>
    <x v="1"/>
  </r>
  <r>
    <n v="124"/>
    <d v="2025-07-29T00:00:00"/>
    <x v="4"/>
    <s v="Sample expense 124"/>
    <x v="2"/>
    <x v="123"/>
    <x v="18"/>
    <s v="Chicago"/>
    <s v="No"/>
    <s v="Shell Fuel"/>
    <s v="Paid"/>
    <x v="0"/>
    <x v="6"/>
    <n v="2025"/>
    <x v="0"/>
  </r>
  <r>
    <n v="125"/>
    <d v="2025-12-13T00:00:00"/>
    <x v="6"/>
    <s v="Sample expense 125"/>
    <x v="0"/>
    <x v="124"/>
    <x v="23"/>
    <s v="Phoenix"/>
    <s v="Yes"/>
    <s v="Spotify"/>
    <s v="Paid"/>
    <x v="0"/>
    <x v="4"/>
    <n v="2025"/>
    <x v="0"/>
  </r>
  <r>
    <n v="126"/>
    <d v="2025-11-04T00:00:00"/>
    <x v="3"/>
    <s v="Sample expense 126"/>
    <x v="0"/>
    <x v="125"/>
    <x v="6"/>
    <s v="Houston"/>
    <s v="No"/>
    <s v="ComEd"/>
    <s v="Paid"/>
    <x v="0"/>
    <x v="0"/>
    <n v="2025"/>
    <x v="1"/>
  </r>
  <r>
    <n v="127"/>
    <d v="2025-08-20T00:00:00"/>
    <x v="5"/>
    <s v="Sample expense 127"/>
    <x v="0"/>
    <x v="126"/>
    <x v="21"/>
    <s v="Miami"/>
    <s v="No"/>
    <s v="ABC Realty"/>
    <s v="Paid"/>
    <x v="0"/>
    <x v="3"/>
    <n v="2025"/>
    <x v="1"/>
  </r>
  <r>
    <n v="128"/>
    <d v="2025-12-08T00:00:00"/>
    <x v="2"/>
    <s v="Sample expense 128"/>
    <x v="0"/>
    <x v="127"/>
    <x v="2"/>
    <s v="Miami"/>
    <s v="No"/>
    <s v="Walmart"/>
    <s v="Paid"/>
    <x v="0"/>
    <x v="4"/>
    <n v="2025"/>
    <x v="0"/>
  </r>
  <r>
    <n v="129"/>
    <d v="2025-08-08T00:00:00"/>
    <x v="3"/>
    <s v="Sample expense 129"/>
    <x v="2"/>
    <x v="128"/>
    <x v="5"/>
    <s v="Los Angeles"/>
    <s v="No"/>
    <s v="ComEd"/>
    <s v="Pending"/>
    <x v="0"/>
    <x v="3"/>
    <n v="2025"/>
    <x v="1"/>
  </r>
  <r>
    <n v="130"/>
    <d v="2025-10-22T00:00:00"/>
    <x v="3"/>
    <s v="Sample expense 130"/>
    <x v="0"/>
    <x v="129"/>
    <x v="22"/>
    <s v="Houston"/>
    <s v="No"/>
    <s v="Verizon"/>
    <s v="Paid"/>
    <x v="0"/>
    <x v="2"/>
    <n v="2025"/>
    <x v="0"/>
  </r>
  <r>
    <n v="131"/>
    <d v="2025-09-04T00:00:00"/>
    <x v="2"/>
    <s v="Sample expense 131"/>
    <x v="0"/>
    <x v="130"/>
    <x v="2"/>
    <s v="Miami"/>
    <s v="Yes"/>
    <s v="Domino's"/>
    <s v="Pending"/>
    <x v="0"/>
    <x v="5"/>
    <n v="2025"/>
    <x v="0"/>
  </r>
  <r>
    <n v="132"/>
    <d v="2025-11-25T00:00:00"/>
    <x v="5"/>
    <s v="Sample expense 132"/>
    <x v="1"/>
    <x v="131"/>
    <x v="21"/>
    <s v="Los Angeles"/>
    <s v="No"/>
    <s v="OfficeLease"/>
    <s v="Paid"/>
    <x v="0"/>
    <x v="0"/>
    <n v="2025"/>
    <x v="1"/>
  </r>
  <r>
    <n v="133"/>
    <d v="2026-01-19T00:00:00"/>
    <x v="2"/>
    <s v="Sample expense 133"/>
    <x v="0"/>
    <x v="132"/>
    <x v="10"/>
    <s v="Phoenix"/>
    <s v="Yes"/>
    <s v="Starbucks"/>
    <s v="Paid"/>
    <x v="0"/>
    <x v="1"/>
    <n v="2026"/>
    <x v="1"/>
  </r>
  <r>
    <n v="134"/>
    <d v="2025-09-25T00:00:00"/>
    <x v="1"/>
    <s v="Sample expense 134"/>
    <x v="1"/>
    <x v="133"/>
    <x v="20"/>
    <s v="Los Angeles"/>
    <s v="No"/>
    <s v="CVS"/>
    <s v="Paid"/>
    <x v="0"/>
    <x v="5"/>
    <n v="2025"/>
    <x v="0"/>
  </r>
  <r>
    <n v="135"/>
    <d v="2025-10-28T00:00:00"/>
    <x v="3"/>
    <s v="Sample expense 135"/>
    <x v="2"/>
    <x v="134"/>
    <x v="6"/>
    <s v="Miami"/>
    <s v="No"/>
    <s v="Verizon"/>
    <s v="Paid"/>
    <x v="0"/>
    <x v="2"/>
    <n v="2025"/>
    <x v="1"/>
  </r>
  <r>
    <n v="136"/>
    <d v="2025-09-14T00:00:00"/>
    <x v="0"/>
    <s v="Sample expense 136"/>
    <x v="2"/>
    <x v="135"/>
    <x v="0"/>
    <s v="Chicago"/>
    <s v="Yes"/>
    <s v="Best Buy"/>
    <s v="Paid"/>
    <x v="0"/>
    <x v="5"/>
    <n v="2025"/>
    <x v="1"/>
  </r>
  <r>
    <n v="137"/>
    <d v="2025-10-28T00:00:00"/>
    <x v="0"/>
    <s v="Sample expense 137"/>
    <x v="2"/>
    <x v="136"/>
    <x v="27"/>
    <s v="Chicago"/>
    <s v="No"/>
    <s v="Best Buy"/>
    <s v="Paid"/>
    <x v="0"/>
    <x v="2"/>
    <n v="2025"/>
    <x v="0"/>
  </r>
  <r>
    <n v="138"/>
    <d v="2025-12-03T00:00:00"/>
    <x v="4"/>
    <s v="Sample expense 138"/>
    <x v="2"/>
    <x v="137"/>
    <x v="15"/>
    <s v="Chicago"/>
    <s v="No"/>
    <s v="Delta Airlines"/>
    <s v="Paid"/>
    <x v="0"/>
    <x v="4"/>
    <n v="2025"/>
    <x v="0"/>
  </r>
  <r>
    <n v="139"/>
    <d v="2025-12-22T00:00:00"/>
    <x v="6"/>
    <s v="Sample expense 139"/>
    <x v="1"/>
    <x v="138"/>
    <x v="23"/>
    <s v="Miami"/>
    <s v="No"/>
    <s v="Spotify"/>
    <s v="Paid"/>
    <x v="0"/>
    <x v="4"/>
    <n v="2025"/>
    <x v="0"/>
  </r>
  <r>
    <n v="140"/>
    <d v="2025-12-14T00:00:00"/>
    <x v="2"/>
    <s v="Sample expense 140"/>
    <x v="0"/>
    <x v="139"/>
    <x v="10"/>
    <s v="Chicago"/>
    <s v="No"/>
    <s v="Starbucks"/>
    <s v="Paid"/>
    <x v="0"/>
    <x v="4"/>
    <n v="2025"/>
    <x v="0"/>
  </r>
  <r>
    <n v="141"/>
    <d v="2026-01-11T00:00:00"/>
    <x v="2"/>
    <s v="Sample expense 141"/>
    <x v="2"/>
    <x v="140"/>
    <x v="10"/>
    <s v="Houston"/>
    <s v="No"/>
    <s v="Domino's"/>
    <s v="Paid"/>
    <x v="0"/>
    <x v="1"/>
    <n v="2026"/>
    <x v="1"/>
  </r>
  <r>
    <n v="142"/>
    <d v="2025-08-22T00:00:00"/>
    <x v="4"/>
    <s v="Sample expense 142"/>
    <x v="0"/>
    <x v="141"/>
    <x v="15"/>
    <s v="Phoenix"/>
    <s v="No"/>
    <s v="Uber"/>
    <s v="Paid"/>
    <x v="0"/>
    <x v="3"/>
    <n v="2025"/>
    <x v="1"/>
  </r>
  <r>
    <n v="143"/>
    <d v="2025-08-29T00:00:00"/>
    <x v="4"/>
    <s v="Sample expense 143"/>
    <x v="1"/>
    <x v="142"/>
    <x v="12"/>
    <s v="Los Angeles"/>
    <s v="No"/>
    <s v="Delta Airlines"/>
    <s v="Paid"/>
    <x v="0"/>
    <x v="3"/>
    <n v="2025"/>
    <x v="0"/>
  </r>
  <r>
    <n v="144"/>
    <d v="2025-08-06T00:00:00"/>
    <x v="4"/>
    <s v="Sample expense 144"/>
    <x v="1"/>
    <x v="143"/>
    <x v="12"/>
    <s v="Los Angeles"/>
    <s v="No"/>
    <s v="Delta Airlines"/>
    <s v="Pending"/>
    <x v="0"/>
    <x v="3"/>
    <n v="2025"/>
    <x v="1"/>
  </r>
  <r>
    <n v="145"/>
    <d v="2025-12-31T00:00:00"/>
    <x v="3"/>
    <s v="Sample expense 145"/>
    <x v="1"/>
    <x v="144"/>
    <x v="5"/>
    <s v="Miami"/>
    <s v="Yes"/>
    <s v="Verizon"/>
    <s v="Pending"/>
    <x v="0"/>
    <x v="4"/>
    <n v="2025"/>
    <x v="1"/>
  </r>
  <r>
    <n v="146"/>
    <d v="2025-10-03T00:00:00"/>
    <x v="1"/>
    <s v="Sample expense 146"/>
    <x v="2"/>
    <x v="145"/>
    <x v="4"/>
    <s v="Chicago"/>
    <s v="No"/>
    <s v="HealthCare Inc"/>
    <s v="Paid"/>
    <x v="0"/>
    <x v="2"/>
    <n v="2025"/>
    <x v="0"/>
  </r>
  <r>
    <n v="147"/>
    <d v="2025-10-18T00:00:00"/>
    <x v="2"/>
    <s v="Sample expense 147"/>
    <x v="0"/>
    <x v="146"/>
    <x v="10"/>
    <s v="Chicago"/>
    <s v="No"/>
    <s v="Subway"/>
    <s v="Paid"/>
    <x v="0"/>
    <x v="2"/>
    <n v="2025"/>
    <x v="1"/>
  </r>
  <r>
    <n v="148"/>
    <d v="2025-08-21T00:00:00"/>
    <x v="3"/>
    <s v="Sample expense 148"/>
    <x v="0"/>
    <x v="147"/>
    <x v="22"/>
    <s v="New York"/>
    <s v="No"/>
    <s v="GasCo"/>
    <s v="Pending"/>
    <x v="0"/>
    <x v="3"/>
    <n v="2025"/>
    <x v="1"/>
  </r>
  <r>
    <n v="149"/>
    <d v="2025-09-28T00:00:00"/>
    <x v="4"/>
    <s v="Sample expense 149"/>
    <x v="0"/>
    <x v="148"/>
    <x v="7"/>
    <s v="Phoenix"/>
    <s v="No"/>
    <s v="Uber"/>
    <s v="Paid"/>
    <x v="0"/>
    <x v="5"/>
    <n v="2025"/>
    <x v="1"/>
  </r>
  <r>
    <n v="150"/>
    <d v="2026-01-10T00:00:00"/>
    <x v="2"/>
    <s v="Sample expense 150"/>
    <x v="1"/>
    <x v="149"/>
    <x v="11"/>
    <s v="Houston"/>
    <s v="No"/>
    <s v="Domino's"/>
    <s v="Paid"/>
    <x v="0"/>
    <x v="1"/>
    <n v="2026"/>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n v="1"/>
    <d v="2025-11-04T00:00:00"/>
    <s v="Shopping"/>
    <s v="Sample expense 1"/>
    <x v="0"/>
    <n v="3986.17"/>
    <s v="Electronics"/>
    <s v="New York"/>
    <s v="Yes"/>
    <s v="Macy's"/>
    <s v="Paid"/>
    <s v="-"/>
    <s v="November"/>
    <n v="2025"/>
    <s v="high"/>
  </r>
  <r>
    <n v="2"/>
    <d v="2026-01-20T00:00:00"/>
    <s v="Medical"/>
    <s v="Sample expense 2"/>
    <x v="0"/>
    <n v="1390.62"/>
    <s v="Health Insurance"/>
    <s v="Chicago"/>
    <s v="No"/>
    <s v="Walgreens"/>
    <s v="Pending"/>
    <s v="-"/>
    <s v="January"/>
    <n v="2026"/>
    <s v="normal"/>
  </r>
  <r>
    <n v="3"/>
    <d v="2025-10-25T00:00:00"/>
    <s v="Food"/>
    <s v="Sample expense 3"/>
    <x v="1"/>
    <n v="2222.91"/>
    <s v="Beverages"/>
    <s v="Phoenix"/>
    <s v="No"/>
    <s v="Walmart"/>
    <s v="Paid"/>
    <s v="-"/>
    <s v="October"/>
    <n v="2025"/>
    <s v="normal"/>
  </r>
  <r>
    <n v="4"/>
    <d v="2025-08-08T00:00:00"/>
    <s v="Shopping"/>
    <s v="Sample expense 4"/>
    <x v="0"/>
    <n v="438.36"/>
    <s v="Accessories"/>
    <s v="Phoenix"/>
    <s v="No"/>
    <s v="Macy's"/>
    <s v="Paid"/>
    <s v="-"/>
    <s v="August"/>
    <n v="2025"/>
    <s v="normal"/>
  </r>
  <r>
    <n v="5"/>
    <d v="2025-11-08T00:00:00"/>
    <s v="Medical"/>
    <s v="Sample expense 5"/>
    <x v="2"/>
    <n v="175.49"/>
    <s v="Pharmacy"/>
    <s v="Houston"/>
    <s v="Yes"/>
    <s v="Walgreens"/>
    <s v="Paid"/>
    <s v="-"/>
    <s v="November"/>
    <n v="2025"/>
    <s v="normal"/>
  </r>
  <r>
    <n v="6"/>
    <d v="2025-10-04T00:00:00"/>
    <s v="Utilities"/>
    <s v="Sample expense 6"/>
    <x v="1"/>
    <n v="4815.1099999999997"/>
    <s v="Internet"/>
    <s v="Miami"/>
    <s v="No"/>
    <s v="Verizon"/>
    <s v="Paid"/>
    <s v="-"/>
    <s v="October"/>
    <n v="2025"/>
    <s v="high"/>
  </r>
  <r>
    <n v="7"/>
    <d v="2025-08-14T00:00:00"/>
    <s v="Utilities"/>
    <s v="Sample expense 7"/>
    <x v="2"/>
    <n v="4188.1000000000004"/>
    <s v="Electricity"/>
    <s v="New York"/>
    <s v="No"/>
    <s v="ComEd"/>
    <s v="Paid"/>
    <s v="-"/>
    <s v="August"/>
    <n v="2025"/>
    <s v="high"/>
  </r>
  <r>
    <n v="8"/>
    <d v="2025-11-04T00:00:00"/>
    <s v="Utilities"/>
    <s v="Sample expense 8"/>
    <x v="2"/>
    <n v="3495.07"/>
    <s v="Internet"/>
    <s v="New York"/>
    <s v="No"/>
    <s v="ComEd"/>
    <s v="Paid"/>
    <s v="-"/>
    <s v="November"/>
    <n v="2025"/>
    <s v="high"/>
  </r>
  <r>
    <n v="9"/>
    <d v="2025-11-23T00:00:00"/>
    <s v="Utilities"/>
    <s v="Sample expense 9"/>
    <x v="0"/>
    <n v="2074.3200000000002"/>
    <s v="Electricity"/>
    <s v="Los Angeles"/>
    <s v="No"/>
    <s v="City Water"/>
    <s v="Paid"/>
    <s v="-"/>
    <s v="November"/>
    <n v="2025"/>
    <s v="normal"/>
  </r>
  <r>
    <n v="10"/>
    <d v="2025-10-07T00:00:00"/>
    <s v="Utilities"/>
    <s v="Sample expense 10"/>
    <x v="0"/>
    <n v="907.81"/>
    <s v="Internet"/>
    <s v="Houston"/>
    <s v="No"/>
    <s v="GasCo"/>
    <s v="Paid"/>
    <s v="-"/>
    <s v="October"/>
    <n v="2025"/>
    <s v="normal"/>
  </r>
  <r>
    <n v="11"/>
    <d v="2025-10-20T00:00:00"/>
    <s v="Medical"/>
    <s v="Sample expense 11"/>
    <x v="0"/>
    <n v="824.36"/>
    <s v="Pharmacy"/>
    <s v="Los Angeles"/>
    <s v="Yes"/>
    <s v="City Hospital"/>
    <s v="Paid"/>
    <s v="-"/>
    <s v="October"/>
    <n v="2025"/>
    <s v="normal"/>
  </r>
  <r>
    <n v="12"/>
    <d v="2025-11-18T00:00:00"/>
    <s v="Medical"/>
    <s v="Sample expense 12"/>
    <x v="0"/>
    <n v="1288.7"/>
    <s v="Health Insurance"/>
    <s v="Los Angeles"/>
    <s v="No"/>
    <s v="HealthCare Inc"/>
    <s v="Paid"/>
    <s v="-"/>
    <s v="November"/>
    <n v="2025"/>
    <s v="normal"/>
  </r>
  <r>
    <n v="13"/>
    <d v="2025-11-01T00:00:00"/>
    <s v="Travel"/>
    <s v="Sample expense 13"/>
    <x v="0"/>
    <n v="2768.67"/>
    <s v="Taxi"/>
    <s v="Los Angeles"/>
    <s v="No"/>
    <s v="Shell Fuel"/>
    <s v="Paid"/>
    <s v="-"/>
    <s v="November"/>
    <n v="2025"/>
    <s v="normal"/>
  </r>
  <r>
    <n v="14"/>
    <d v="2025-11-05T00:00:00"/>
    <s v="Rent"/>
    <s v="Sample expense 14"/>
    <x v="1"/>
    <n v="3587.25"/>
    <s v="Storage"/>
    <s v="Miami"/>
    <s v="No"/>
    <s v="ABC Realty"/>
    <s v="Paid"/>
    <s v="-"/>
    <s v="November"/>
    <n v="2025"/>
    <s v="high"/>
  </r>
  <r>
    <n v="15"/>
    <d v="2025-12-23T00:00:00"/>
    <s v="Entertainment"/>
    <s v="Sample expense 15"/>
    <x v="2"/>
    <n v="3317.98"/>
    <s v="Subscription"/>
    <s v="Miami"/>
    <s v="No"/>
    <s v="PlayStation Store"/>
    <s v="Paid"/>
    <s v="-"/>
    <s v="December"/>
    <n v="2025"/>
    <s v="high"/>
  </r>
  <r>
    <n v="16"/>
    <d v="2025-12-02T00:00:00"/>
    <s v="Utilities"/>
    <s v="Sample expense 16"/>
    <x v="2"/>
    <n v="1435.67"/>
    <s v="Electricity"/>
    <s v="Chicago"/>
    <s v="Yes"/>
    <s v="ComEd"/>
    <s v="Paid"/>
    <s v="-"/>
    <s v="December"/>
    <n v="2025"/>
    <s v="normal"/>
  </r>
  <r>
    <n v="17"/>
    <d v="2025-12-21T00:00:00"/>
    <s v="Food"/>
    <s v="Sample expense 17"/>
    <x v="2"/>
    <n v="4776.58"/>
    <s v="Groceries"/>
    <s v="Chicago"/>
    <s v="No"/>
    <s v="Domino's"/>
    <s v="Paid"/>
    <s v="-"/>
    <s v="December"/>
    <n v="2025"/>
    <s v="high"/>
  </r>
  <r>
    <n v="18"/>
    <d v="2025-09-15T00:00:00"/>
    <s v="Entertainment"/>
    <s v="Sample expense 18"/>
    <x v="2"/>
    <n v="3702.59"/>
    <s v="Subscription"/>
    <s v="Los Angeles"/>
    <s v="No"/>
    <s v="AMC"/>
    <s v="Paid"/>
    <s v="-"/>
    <s v="September"/>
    <n v="2025"/>
    <s v="high"/>
  </r>
  <r>
    <n v="19"/>
    <d v="2025-07-26T00:00:00"/>
    <s v="Medical"/>
    <s v="Sample expense 19"/>
    <x v="0"/>
    <n v="2794.05"/>
    <s v="Pharmacy"/>
    <s v="Houston"/>
    <s v="No"/>
    <s v="Walgreens"/>
    <s v="Paid"/>
    <s v="-"/>
    <s v="July"/>
    <n v="2025"/>
    <s v="normal"/>
  </r>
  <r>
    <n v="20"/>
    <d v="2025-10-20T00:00:00"/>
    <s v="Food"/>
    <s v="Sample expense 20"/>
    <x v="2"/>
    <n v="3078.02"/>
    <s v="Restaurant"/>
    <s v="New York"/>
    <s v="No"/>
    <s v="Walmart"/>
    <s v="Paid"/>
    <s v="-"/>
    <s v="October"/>
    <n v="2025"/>
    <s v="high"/>
  </r>
  <r>
    <n v="21"/>
    <d v="2025-12-29T00:00:00"/>
    <s v="Food"/>
    <s v="Sample expense 21"/>
    <x v="1"/>
    <n v="2127.02"/>
    <s v="Groceries"/>
    <s v="Miami"/>
    <s v="No"/>
    <s v="Domino's"/>
    <s v="Paid"/>
    <s v="-"/>
    <s v="December"/>
    <n v="2025"/>
    <s v="normal"/>
  </r>
  <r>
    <n v="22"/>
    <d v="2025-08-31T00:00:00"/>
    <s v="Food"/>
    <s v="Sample expense 22"/>
    <x v="1"/>
    <n v="1276.27"/>
    <s v="Restaurant"/>
    <s v="Houston"/>
    <s v="No"/>
    <s v="Subway"/>
    <s v="Paid"/>
    <s v="-"/>
    <s v="August"/>
    <n v="2025"/>
    <s v="normal"/>
  </r>
  <r>
    <n v="23"/>
    <d v="2025-12-01T00:00:00"/>
    <s v="Travel"/>
    <s v="Sample expense 23"/>
    <x v="2"/>
    <n v="1812.06"/>
    <s v="Flight"/>
    <s v="Phoenix"/>
    <s v="No"/>
    <s v="Delta Airlines"/>
    <s v="Paid"/>
    <s v="-"/>
    <s v="December"/>
    <n v="2025"/>
    <s v="normal"/>
  </r>
  <r>
    <n v="24"/>
    <d v="2025-08-14T00:00:00"/>
    <s v="Medical"/>
    <s v="Sample expense 24"/>
    <x v="2"/>
    <n v="3801.34"/>
    <s v="Health Insurance"/>
    <s v="Miami"/>
    <s v="No"/>
    <s v="CVS"/>
    <s v="Paid"/>
    <s v="-"/>
    <s v="August"/>
    <n v="2025"/>
    <s v="high"/>
  </r>
  <r>
    <n v="25"/>
    <d v="2026-01-01T00:00:00"/>
    <s v="Food"/>
    <s v="Sample expense 25"/>
    <x v="1"/>
    <n v="121.25"/>
    <s v="Groceries"/>
    <s v="Miami"/>
    <s v="Yes"/>
    <s v="Starbucks"/>
    <s v="Paid"/>
    <s v="-"/>
    <s v="January"/>
    <n v="2026"/>
    <s v="normal"/>
  </r>
  <r>
    <n v="26"/>
    <d v="2025-09-20T00:00:00"/>
    <s v="Utilities"/>
    <s v="Sample expense 26"/>
    <x v="1"/>
    <n v="624.55999999999995"/>
    <s v="Gas"/>
    <s v="Chicago"/>
    <s v="Yes"/>
    <s v="City Water"/>
    <s v="Paid"/>
    <s v="-"/>
    <s v="September"/>
    <n v="2025"/>
    <s v="normal"/>
  </r>
  <r>
    <n v="27"/>
    <d v="2025-08-15T00:00:00"/>
    <s v="Shopping"/>
    <s v="Sample expense 27"/>
    <x v="0"/>
    <n v="277.70999999999998"/>
    <s v="Clothes"/>
    <s v="New York"/>
    <s v="No"/>
    <s v="Amazon"/>
    <s v="Paid"/>
    <s v="-"/>
    <s v="August"/>
    <n v="2025"/>
    <s v="normal"/>
  </r>
  <r>
    <n v="28"/>
    <d v="2025-10-21T00:00:00"/>
    <s v="Food"/>
    <s v="Sample expense 28"/>
    <x v="1"/>
    <n v="251.61"/>
    <s v="Groceries"/>
    <s v="New York"/>
    <s v="Yes"/>
    <s v="Starbucks"/>
    <s v="Paid"/>
    <s v="-"/>
    <s v="October"/>
    <n v="2025"/>
    <s v="normal"/>
  </r>
  <r>
    <n v="29"/>
    <d v="2025-09-11T00:00:00"/>
    <s v="Travel"/>
    <s v="Sample expense 29"/>
    <x v="0"/>
    <n v="4284.53"/>
    <s v="Fuel"/>
    <s v="Phoenix"/>
    <s v="Yes"/>
    <s v="Shell Fuel"/>
    <s v="Paid"/>
    <s v="-"/>
    <s v="September"/>
    <n v="2025"/>
    <s v="high"/>
  </r>
  <r>
    <n v="30"/>
    <d v="2025-09-21T00:00:00"/>
    <s v="Entertainment"/>
    <s v="Sample expense 30"/>
    <x v="0"/>
    <n v="3533.11"/>
    <s v="Subscription"/>
    <s v="Phoenix"/>
    <s v="No"/>
    <s v="Netflix"/>
    <s v="Paid"/>
    <s v="-"/>
    <s v="September"/>
    <n v="2025"/>
    <s v="high"/>
  </r>
  <r>
    <n v="31"/>
    <d v="2026-01-10T00:00:00"/>
    <s v="Medical"/>
    <s v="Sample expense 31"/>
    <x v="0"/>
    <n v="2397.16"/>
    <s v="Doctor"/>
    <s v="Miami"/>
    <s v="Yes"/>
    <s v="Walgreens"/>
    <s v="Paid"/>
    <s v="-"/>
    <s v="January"/>
    <n v="2026"/>
    <s v="normal"/>
  </r>
  <r>
    <n v="32"/>
    <d v="2025-08-08T00:00:00"/>
    <s v="Travel"/>
    <s v="Sample expense 32"/>
    <x v="0"/>
    <n v="534.28"/>
    <s v="Fuel"/>
    <s v="Los Angeles"/>
    <s v="No"/>
    <s v="Greyhound"/>
    <s v="Paid"/>
    <s v="-"/>
    <s v="August"/>
    <n v="2025"/>
    <s v="normal"/>
  </r>
  <r>
    <n v="33"/>
    <d v="2026-01-15T00:00:00"/>
    <s v="Food"/>
    <s v="Sample expense 33"/>
    <x v="0"/>
    <n v="2483.5"/>
    <s v="Snacks"/>
    <s v="Chicago"/>
    <s v="Yes"/>
    <s v="Subway"/>
    <s v="Paid"/>
    <s v="-"/>
    <s v="January"/>
    <n v="2026"/>
    <s v="normal"/>
  </r>
  <r>
    <n v="34"/>
    <d v="2025-09-13T00:00:00"/>
    <s v="Medical"/>
    <s v="Sample expense 34"/>
    <x v="2"/>
    <n v="2393.69"/>
    <s v="Health Insurance"/>
    <s v="Chicago"/>
    <s v="No"/>
    <s v="CVS"/>
    <s v="Paid"/>
    <s v="-"/>
    <s v="September"/>
    <n v="2025"/>
    <s v="normal"/>
  </r>
  <r>
    <n v="35"/>
    <d v="2025-11-09T00:00:00"/>
    <s v="Shopping"/>
    <s v="Sample expense 35"/>
    <x v="1"/>
    <n v="907.35"/>
    <s v="Clothes"/>
    <s v="Miami"/>
    <s v="No"/>
    <s v="Target"/>
    <s v="Paid"/>
    <s v="-"/>
    <s v="November"/>
    <n v="2025"/>
    <s v="normal"/>
  </r>
  <r>
    <n v="36"/>
    <d v="2025-09-17T00:00:00"/>
    <s v="Food"/>
    <s v="Sample expense 36"/>
    <x v="0"/>
    <n v="2197.5700000000002"/>
    <s v="Beverages"/>
    <s v="Houston"/>
    <s v="No"/>
    <s v="Walmart"/>
    <s v="Paid"/>
    <s v="-"/>
    <s v="September"/>
    <n v="2025"/>
    <s v="normal"/>
  </r>
  <r>
    <n v="37"/>
    <d v="2025-09-26T00:00:00"/>
    <s v="Travel"/>
    <s v="Sample expense 37"/>
    <x v="1"/>
    <n v="2022.6"/>
    <s v="Train"/>
    <s v="Los Angeles"/>
    <s v="Yes"/>
    <s v="Uber"/>
    <s v="Paid"/>
    <s v="-"/>
    <s v="September"/>
    <n v="2025"/>
    <s v="normal"/>
  </r>
  <r>
    <n v="38"/>
    <d v="2025-12-02T00:00:00"/>
    <s v="Rent"/>
    <s v="Sample expense 38"/>
    <x v="1"/>
    <n v="3098.46"/>
    <s v="Storage"/>
    <s v="Miami"/>
    <s v="No"/>
    <s v="HomeStay"/>
    <s v="Paid"/>
    <s v="-"/>
    <s v="December"/>
    <n v="2025"/>
    <s v="high"/>
  </r>
  <r>
    <n v="39"/>
    <d v="2025-09-13T00:00:00"/>
    <s v="Utilities"/>
    <s v="Sample expense 39"/>
    <x v="0"/>
    <n v="3193.71"/>
    <s v="Gas"/>
    <s v="Los Angeles"/>
    <s v="No"/>
    <s v="Verizon"/>
    <s v="Paid"/>
    <s v="-"/>
    <s v="September"/>
    <n v="2025"/>
    <s v="high"/>
  </r>
  <r>
    <n v="40"/>
    <d v="2025-12-06T00:00:00"/>
    <s v="Entertainment"/>
    <s v="Sample expense 40"/>
    <x v="2"/>
    <n v="274.25"/>
    <s v="Movies"/>
    <s v="Los Angeles"/>
    <s v="No"/>
    <s v="PlayStation Store"/>
    <s v="Paid"/>
    <s v="-"/>
    <s v="December"/>
    <n v="2025"/>
    <s v="normal"/>
  </r>
  <r>
    <n v="41"/>
    <d v="2025-08-14T00:00:00"/>
    <s v="Travel"/>
    <s v="Sample expense 41"/>
    <x v="0"/>
    <n v="1904.33"/>
    <s v="Flight"/>
    <s v="Los Angeles"/>
    <s v="No"/>
    <s v="Delta Airlines"/>
    <s v="Paid"/>
    <s v="-"/>
    <s v="August"/>
    <n v="2025"/>
    <s v="normal"/>
  </r>
  <r>
    <n v="42"/>
    <d v="2025-10-05T00:00:00"/>
    <s v="Medical"/>
    <s v="Sample expense 42"/>
    <x v="2"/>
    <n v="3148.01"/>
    <s v="Hospital"/>
    <s v="Miami"/>
    <s v="No"/>
    <s v="HealthCare Inc"/>
    <s v="Paid"/>
    <s v="-"/>
    <s v="October"/>
    <n v="2025"/>
    <s v="high"/>
  </r>
  <r>
    <n v="43"/>
    <d v="2026-01-07T00:00:00"/>
    <s v="Food"/>
    <s v="Sample expense 43"/>
    <x v="1"/>
    <n v="2540.52"/>
    <s v="Groceries"/>
    <s v="Chicago"/>
    <s v="Yes"/>
    <s v="Walmart"/>
    <s v="Paid"/>
    <s v="-"/>
    <s v="January"/>
    <n v="2026"/>
    <s v="normal"/>
  </r>
  <r>
    <n v="44"/>
    <d v="2025-08-11T00:00:00"/>
    <s v="Utilities"/>
    <s v="Sample expense 44"/>
    <x v="2"/>
    <n v="4289.62"/>
    <s v="Electricity"/>
    <s v="Chicago"/>
    <s v="No"/>
    <s v="ComEd"/>
    <s v="Paid"/>
    <s v="-"/>
    <s v="August"/>
    <n v="2025"/>
    <s v="high"/>
  </r>
  <r>
    <n v="45"/>
    <d v="2025-12-03T00:00:00"/>
    <s v="Food"/>
    <s v="Sample expense 45"/>
    <x v="2"/>
    <n v="3310.53"/>
    <s v="Restaurant"/>
    <s v="Los Angeles"/>
    <s v="No"/>
    <s v="Subway"/>
    <s v="Paid"/>
    <s v="-"/>
    <s v="December"/>
    <n v="2025"/>
    <s v="high"/>
  </r>
  <r>
    <n v="46"/>
    <d v="2025-10-21T00:00:00"/>
    <s v="Medical"/>
    <s v="Sample expense 46"/>
    <x v="2"/>
    <n v="856.53"/>
    <s v="Hospital"/>
    <s v="Houston"/>
    <s v="No"/>
    <s v="Walgreens"/>
    <s v="Paid"/>
    <s v="-"/>
    <s v="October"/>
    <n v="2025"/>
    <s v="normal"/>
  </r>
  <r>
    <n v="47"/>
    <d v="2025-09-22T00:00:00"/>
    <s v="Food"/>
    <s v="Sample expense 47"/>
    <x v="1"/>
    <n v="399.32"/>
    <s v="Snacks"/>
    <s v="New York"/>
    <s v="No"/>
    <s v="Subway"/>
    <s v="Paid"/>
    <s v="-"/>
    <s v="September"/>
    <n v="2025"/>
    <s v="normal"/>
  </r>
  <r>
    <n v="48"/>
    <d v="2025-08-07T00:00:00"/>
    <s v="Rent"/>
    <s v="Sample expense 48"/>
    <x v="1"/>
    <n v="3229.98"/>
    <s v="Apartment"/>
    <s v="Miami"/>
    <s v="No"/>
    <s v="OfficeLease"/>
    <s v="Paid"/>
    <s v="-"/>
    <s v="August"/>
    <n v="2025"/>
    <s v="high"/>
  </r>
  <r>
    <n v="49"/>
    <d v="2025-08-02T00:00:00"/>
    <s v="Utilities"/>
    <s v="Sample expense 49"/>
    <x v="2"/>
    <n v="181.23"/>
    <s v="Electricity"/>
    <s v="New York"/>
    <s v="No"/>
    <s v="GasCo"/>
    <s v="Paid"/>
    <s v="-"/>
    <s v="August"/>
    <n v="2025"/>
    <s v="normal"/>
  </r>
  <r>
    <n v="50"/>
    <d v="2025-10-22T00:00:00"/>
    <s v="Utilities"/>
    <s v="Sample expense 50"/>
    <x v="2"/>
    <n v="2949.59"/>
    <s v="Water"/>
    <s v="Houston"/>
    <s v="Yes"/>
    <s v="City Water"/>
    <s v="Pending"/>
    <s v="-"/>
    <s v="October"/>
    <n v="2025"/>
    <s v="normal"/>
  </r>
  <r>
    <n v="51"/>
    <d v="2025-09-15T00:00:00"/>
    <s v="Medical"/>
    <s v="Sample expense 51"/>
    <x v="0"/>
    <n v="4704.1400000000003"/>
    <s v="Doctor"/>
    <s v="Miami"/>
    <s v="No"/>
    <s v="CVS"/>
    <s v="Paid"/>
    <s v="-"/>
    <s v="September"/>
    <n v="2025"/>
    <s v="high"/>
  </r>
  <r>
    <n v="52"/>
    <d v="2025-12-01T00:00:00"/>
    <s v="Entertainment"/>
    <s v="Sample expense 52"/>
    <x v="2"/>
    <n v="2898.6"/>
    <s v="Concert"/>
    <s v="Los Angeles"/>
    <s v="No"/>
    <s v="AMC"/>
    <s v="Paid"/>
    <s v="-"/>
    <s v="December"/>
    <n v="2025"/>
    <s v="normal"/>
  </r>
  <r>
    <n v="53"/>
    <d v="2025-10-16T00:00:00"/>
    <s v="Rent"/>
    <s v="Sample expense 53"/>
    <x v="0"/>
    <n v="1971.44"/>
    <s v="Storage"/>
    <s v="Chicago"/>
    <s v="No"/>
    <s v="ABC Realty"/>
    <s v="Paid"/>
    <s v="-"/>
    <s v="October"/>
    <n v="2025"/>
    <s v="normal"/>
  </r>
  <r>
    <n v="54"/>
    <d v="2025-10-24T00:00:00"/>
    <s v="Travel"/>
    <s v="Sample expense 54"/>
    <x v="2"/>
    <n v="3234.28"/>
    <s v="Taxi"/>
    <s v="New York"/>
    <s v="No"/>
    <s v="Uber"/>
    <s v="Paid"/>
    <s v="-"/>
    <s v="October"/>
    <n v="2025"/>
    <s v="high"/>
  </r>
  <r>
    <n v="55"/>
    <d v="2025-11-12T00:00:00"/>
    <s v="Food"/>
    <s v="Sample expense 55"/>
    <x v="0"/>
    <n v="2318.35"/>
    <s v="Snacks"/>
    <s v="Phoenix"/>
    <s v="Yes"/>
    <s v="Walmart"/>
    <s v="Paid"/>
    <s v="-"/>
    <s v="November"/>
    <n v="2025"/>
    <s v="normal"/>
  </r>
  <r>
    <n v="56"/>
    <d v="2026-01-12T00:00:00"/>
    <s v="Shopping"/>
    <s v="Sample expense 56"/>
    <x v="1"/>
    <n v="2750.8"/>
    <s v="Accessories"/>
    <s v="Phoenix"/>
    <s v="No"/>
    <s v="Target"/>
    <s v="Paid"/>
    <s v="-"/>
    <s v="January"/>
    <n v="2026"/>
    <s v="normal"/>
  </r>
  <r>
    <n v="57"/>
    <d v="2025-08-01T00:00:00"/>
    <s v="Food"/>
    <s v="Sample expense 57"/>
    <x v="2"/>
    <n v="4710.25"/>
    <s v="Restaurant"/>
    <s v="Houston"/>
    <s v="No"/>
    <s v="Domino's"/>
    <s v="Paid"/>
    <s v="-"/>
    <s v="August"/>
    <n v="2025"/>
    <s v="high"/>
  </r>
  <r>
    <n v="58"/>
    <d v="2026-01-15T00:00:00"/>
    <s v="Food"/>
    <s v="Sample expense 58"/>
    <x v="2"/>
    <n v="1961.21"/>
    <s v="Beverages"/>
    <s v="Los Angeles"/>
    <s v="No"/>
    <s v="Walmart"/>
    <s v="Paid"/>
    <s v="-"/>
    <s v="January"/>
    <n v="2026"/>
    <s v="normal"/>
  </r>
  <r>
    <n v="59"/>
    <d v="2025-08-28T00:00:00"/>
    <s v="Travel"/>
    <s v="Sample expense 59"/>
    <x v="2"/>
    <n v="4807.8900000000003"/>
    <s v="Bus"/>
    <s v="New York"/>
    <s v="Yes"/>
    <s v="Uber"/>
    <s v="Paid"/>
    <s v="-"/>
    <s v="August"/>
    <n v="2025"/>
    <s v="high"/>
  </r>
  <r>
    <n v="60"/>
    <d v="2025-10-13T00:00:00"/>
    <s v="Food"/>
    <s v="Sample expense 60"/>
    <x v="2"/>
    <n v="4531.49"/>
    <s v="Beverages"/>
    <s v="Los Angeles"/>
    <s v="No"/>
    <s v="Starbucks"/>
    <s v="Paid"/>
    <s v="-"/>
    <s v="October"/>
    <n v="2025"/>
    <s v="high"/>
  </r>
  <r>
    <n v="61"/>
    <d v="2026-01-04T00:00:00"/>
    <s v="Rent"/>
    <s v="Sample expense 61"/>
    <x v="0"/>
    <n v="1019.17"/>
    <s v="Apartment"/>
    <s v="New York"/>
    <s v="No"/>
    <s v="ABC Realty"/>
    <s v="Paid"/>
    <s v="-"/>
    <s v="January"/>
    <n v="2026"/>
    <s v="normal"/>
  </r>
  <r>
    <n v="62"/>
    <d v="2025-09-12T00:00:00"/>
    <s v="Rent"/>
    <s v="Sample expense 62"/>
    <x v="2"/>
    <n v="393.34"/>
    <s v="Office"/>
    <s v="Houston"/>
    <s v="Yes"/>
    <s v="OfficeLease"/>
    <s v="Paid"/>
    <s v="-"/>
    <s v="September"/>
    <n v="2025"/>
    <s v="normal"/>
  </r>
  <r>
    <n v="63"/>
    <d v="2025-11-05T00:00:00"/>
    <s v="Utilities"/>
    <s v="Sample expense 63"/>
    <x v="1"/>
    <n v="548.85"/>
    <s v="Gas"/>
    <s v="Houston"/>
    <s v="No"/>
    <s v="City Water"/>
    <s v="Paid"/>
    <s v="-"/>
    <s v="November"/>
    <n v="2025"/>
    <s v="normal"/>
  </r>
  <r>
    <n v="64"/>
    <d v="2025-12-03T00:00:00"/>
    <s v="Medical"/>
    <s v="Sample expense 64"/>
    <x v="1"/>
    <n v="140.19999999999999"/>
    <s v="Health Insurance"/>
    <s v="Phoenix"/>
    <s v="Yes"/>
    <s v="City Hospital"/>
    <s v="Paid"/>
    <s v="-"/>
    <s v="December"/>
    <n v="2025"/>
    <s v="normal"/>
  </r>
  <r>
    <n v="65"/>
    <d v="2025-07-26T00:00:00"/>
    <s v="Entertainment"/>
    <s v="Sample expense 65"/>
    <x v="2"/>
    <n v="517.49"/>
    <s v="Games"/>
    <s v="Los Angeles"/>
    <s v="Yes"/>
    <s v="Netflix"/>
    <s v="Pending"/>
    <s v="-"/>
    <s v="July"/>
    <n v="2025"/>
    <s v="normal"/>
  </r>
  <r>
    <n v="66"/>
    <d v="2025-12-05T00:00:00"/>
    <s v="Shopping"/>
    <s v="Sample expense 66"/>
    <x v="1"/>
    <n v="3430.88"/>
    <s v="Accessories"/>
    <s v="Miami"/>
    <s v="No"/>
    <s v="Target"/>
    <s v="Paid"/>
    <s v="-"/>
    <s v="December"/>
    <n v="2025"/>
    <s v="high"/>
  </r>
  <r>
    <n v="67"/>
    <d v="2025-09-16T00:00:00"/>
    <s v="Food"/>
    <s v="Sample expense 67"/>
    <x v="2"/>
    <n v="402.38"/>
    <s v="Restaurant"/>
    <s v="Phoenix"/>
    <s v="No"/>
    <s v="Subway"/>
    <s v="Paid"/>
    <s v="-"/>
    <s v="September"/>
    <n v="2025"/>
    <s v="normal"/>
  </r>
  <r>
    <n v="68"/>
    <d v="2025-11-07T00:00:00"/>
    <s v="Food"/>
    <s v="Sample expense 68"/>
    <x v="2"/>
    <n v="1628.93"/>
    <s v="Beverages"/>
    <s v="Los Angeles"/>
    <s v="No"/>
    <s v="Starbucks"/>
    <s v="Paid"/>
    <s v="-"/>
    <s v="November"/>
    <n v="2025"/>
    <s v="normal"/>
  </r>
  <r>
    <n v="69"/>
    <d v="2025-07-28T00:00:00"/>
    <s v="Travel"/>
    <s v="Sample expense 69"/>
    <x v="1"/>
    <n v="4232.13"/>
    <s v="Flight"/>
    <s v="Phoenix"/>
    <s v="No"/>
    <s v="Delta Airlines"/>
    <s v="Paid"/>
    <s v="-"/>
    <s v="July"/>
    <n v="2025"/>
    <s v="high"/>
  </r>
  <r>
    <n v="70"/>
    <d v="2025-09-16T00:00:00"/>
    <s v="Medical"/>
    <s v="Sample expense 70"/>
    <x v="2"/>
    <n v="165.2"/>
    <s v="Health Insurance"/>
    <s v="Miami"/>
    <s v="No"/>
    <s v="HealthCare Inc"/>
    <s v="Pending"/>
    <s v="-"/>
    <s v="September"/>
    <n v="2025"/>
    <s v="normal"/>
  </r>
  <r>
    <n v="71"/>
    <d v="2025-12-17T00:00:00"/>
    <s v="Rent"/>
    <s v="Sample expense 71"/>
    <x v="1"/>
    <n v="4081.62"/>
    <s v="Apartment"/>
    <s v="Chicago"/>
    <s v="No"/>
    <s v="HomeStay"/>
    <s v="Paid"/>
    <s v="-"/>
    <s v="December"/>
    <n v="2025"/>
    <s v="high"/>
  </r>
  <r>
    <n v="72"/>
    <d v="2025-09-06T00:00:00"/>
    <s v="Shopping"/>
    <s v="Sample expense 72"/>
    <x v="0"/>
    <n v="1445.18"/>
    <s v="Clothes"/>
    <s v="Chicago"/>
    <s v="No"/>
    <s v="Best Buy"/>
    <s v="Paid"/>
    <s v="-"/>
    <s v="September"/>
    <n v="2025"/>
    <s v="normal"/>
  </r>
  <r>
    <n v="73"/>
    <d v="2026-01-02T00:00:00"/>
    <s v="Utilities"/>
    <s v="Sample expense 73"/>
    <x v="2"/>
    <n v="634.91999999999996"/>
    <s v="Gas"/>
    <s v="Chicago"/>
    <s v="No"/>
    <s v="Verizon"/>
    <s v="Paid"/>
    <s v="-"/>
    <s v="January"/>
    <n v="2026"/>
    <s v="normal"/>
  </r>
  <r>
    <n v="74"/>
    <d v="2025-08-07T00:00:00"/>
    <s v="Rent"/>
    <s v="Sample expense 74"/>
    <x v="0"/>
    <n v="3498.85"/>
    <s v="Storage"/>
    <s v="Chicago"/>
    <s v="No"/>
    <s v="OfficeLease"/>
    <s v="Paid"/>
    <s v="-"/>
    <s v="August"/>
    <n v="2025"/>
    <s v="high"/>
  </r>
  <r>
    <n v="75"/>
    <d v="2025-10-27T00:00:00"/>
    <s v="Medical"/>
    <s v="Sample expense 75"/>
    <x v="1"/>
    <n v="3163.27"/>
    <s v="Doctor"/>
    <s v="New York"/>
    <s v="No"/>
    <s v="CVS"/>
    <s v="Paid"/>
    <s v="-"/>
    <s v="October"/>
    <n v="2025"/>
    <s v="high"/>
  </r>
  <r>
    <n v="76"/>
    <d v="2025-09-10T00:00:00"/>
    <s v="Entertainment"/>
    <s v="Sample expense 76"/>
    <x v="0"/>
    <n v="4393.49"/>
    <s v="Concert"/>
    <s v="Chicago"/>
    <s v="No"/>
    <s v="PlayStation Store"/>
    <s v="Paid"/>
    <s v="-"/>
    <s v="September"/>
    <n v="2025"/>
    <s v="high"/>
  </r>
  <r>
    <n v="77"/>
    <d v="2025-08-08T00:00:00"/>
    <s v="Utilities"/>
    <s v="Sample expense 77"/>
    <x v="0"/>
    <n v="3688.6"/>
    <s v="Electricity"/>
    <s v="Miami"/>
    <s v="No"/>
    <s v="City Water"/>
    <s v="Paid"/>
    <s v="-"/>
    <s v="August"/>
    <n v="2025"/>
    <s v="high"/>
  </r>
  <r>
    <n v="78"/>
    <d v="2025-09-02T00:00:00"/>
    <s v="Entertainment"/>
    <s v="Sample expense 78"/>
    <x v="1"/>
    <n v="4027.23"/>
    <s v="Movies"/>
    <s v="Houston"/>
    <s v="No"/>
    <s v="AMC"/>
    <s v="Paid"/>
    <s v="-"/>
    <s v="September"/>
    <n v="2025"/>
    <s v="high"/>
  </r>
  <r>
    <n v="79"/>
    <d v="2025-10-14T00:00:00"/>
    <s v="Travel"/>
    <s v="Sample expense 79"/>
    <x v="0"/>
    <n v="1446.07"/>
    <s v="Taxi"/>
    <s v="Houston"/>
    <s v="Yes"/>
    <s v="Shell Fuel"/>
    <s v="Paid"/>
    <s v="-"/>
    <s v="October"/>
    <n v="2025"/>
    <s v="normal"/>
  </r>
  <r>
    <n v="80"/>
    <d v="2025-11-12T00:00:00"/>
    <s v="Travel"/>
    <s v="Sample expense 80"/>
    <x v="0"/>
    <n v="928.33"/>
    <s v="Fuel"/>
    <s v="New York"/>
    <s v="No"/>
    <s v="Greyhound"/>
    <s v="Pending"/>
    <s v="-"/>
    <s v="November"/>
    <n v="2025"/>
    <s v="normal"/>
  </r>
  <r>
    <n v="81"/>
    <d v="2025-09-15T00:00:00"/>
    <s v="Food"/>
    <s v="Sample expense 81"/>
    <x v="1"/>
    <n v="3765.54"/>
    <s v="Beverages"/>
    <s v="Chicago"/>
    <s v="No"/>
    <s v="Subway"/>
    <s v="Paid"/>
    <s v="-"/>
    <s v="September"/>
    <n v="2025"/>
    <s v="high"/>
  </r>
  <r>
    <n v="82"/>
    <d v="2025-08-17T00:00:00"/>
    <s v="Entertainment"/>
    <s v="Sample expense 82"/>
    <x v="0"/>
    <n v="4043.83"/>
    <s v="Movies"/>
    <s v="Chicago"/>
    <s v="Yes"/>
    <s v="Spotify"/>
    <s v="Paid"/>
    <s v="-"/>
    <s v="August"/>
    <n v="2025"/>
    <s v="high"/>
  </r>
  <r>
    <n v="83"/>
    <d v="2025-12-25T00:00:00"/>
    <s v="Medical"/>
    <s v="Sample expense 83"/>
    <x v="1"/>
    <n v="4953"/>
    <s v="Health Insurance"/>
    <s v="Chicago"/>
    <s v="Yes"/>
    <s v="City Hospital"/>
    <s v="Paid"/>
    <s v="-"/>
    <s v="December"/>
    <n v="2025"/>
    <s v="high"/>
  </r>
  <r>
    <n v="84"/>
    <d v="2025-11-25T00:00:00"/>
    <s v="Shopping"/>
    <s v="Sample expense 84"/>
    <x v="0"/>
    <n v="2092.46"/>
    <s v="Accessories"/>
    <s v="Phoenix"/>
    <s v="No"/>
    <s v="Amazon"/>
    <s v="Paid"/>
    <s v="-"/>
    <s v="November"/>
    <n v="2025"/>
    <s v="normal"/>
  </r>
  <r>
    <n v="85"/>
    <d v="2025-09-03T00:00:00"/>
    <s v="Utilities"/>
    <s v="Sample expense 85"/>
    <x v="1"/>
    <n v="1891.49"/>
    <s v="Electricity"/>
    <s v="Los Angeles"/>
    <s v="No"/>
    <s v="City Water"/>
    <s v="Paid"/>
    <s v="-"/>
    <s v="September"/>
    <n v="2025"/>
    <s v="normal"/>
  </r>
  <r>
    <n v="86"/>
    <d v="2025-12-28T00:00:00"/>
    <s v="Rent"/>
    <s v="Sample expense 86"/>
    <x v="1"/>
    <n v="3893.24"/>
    <s v="Apartment"/>
    <s v="Phoenix"/>
    <s v="No"/>
    <s v="HomeStay"/>
    <s v="Pending"/>
    <s v="-"/>
    <s v="December"/>
    <n v="2025"/>
    <s v="high"/>
  </r>
  <r>
    <n v="87"/>
    <d v="2025-08-08T00:00:00"/>
    <s v="Medical"/>
    <s v="Sample expense 87"/>
    <x v="0"/>
    <n v="1736.98"/>
    <s v="Doctor"/>
    <s v="Los Angeles"/>
    <s v="Yes"/>
    <s v="CVS"/>
    <s v="Paid"/>
    <s v="-"/>
    <s v="August"/>
    <n v="2025"/>
    <s v="normal"/>
  </r>
  <r>
    <n v="88"/>
    <d v="2025-09-07T00:00:00"/>
    <s v="Medical"/>
    <s v="Sample expense 88"/>
    <x v="0"/>
    <n v="4657.25"/>
    <s v="Hospital"/>
    <s v="Chicago"/>
    <s v="No"/>
    <s v="City Hospital"/>
    <s v="Paid"/>
    <s v="-"/>
    <s v="September"/>
    <n v="2025"/>
    <s v="high"/>
  </r>
  <r>
    <n v="89"/>
    <d v="2025-09-27T00:00:00"/>
    <s v="Travel"/>
    <s v="Sample expense 89"/>
    <x v="0"/>
    <n v="4299.1400000000003"/>
    <s v="Fuel"/>
    <s v="Chicago"/>
    <s v="No"/>
    <s v="Uber"/>
    <s v="Paid"/>
    <s v="-"/>
    <s v="September"/>
    <n v="2025"/>
    <s v="high"/>
  </r>
  <r>
    <n v="90"/>
    <d v="2025-10-21T00:00:00"/>
    <s v="Entertainment"/>
    <s v="Sample expense 90"/>
    <x v="2"/>
    <n v="2173.52"/>
    <s v="Games"/>
    <s v="Phoenix"/>
    <s v="Yes"/>
    <s v="Netflix"/>
    <s v="Paid"/>
    <s v="-"/>
    <s v="October"/>
    <n v="2025"/>
    <s v="normal"/>
  </r>
  <r>
    <n v="91"/>
    <d v="2025-10-03T00:00:00"/>
    <s v="Food"/>
    <s v="Sample expense 91"/>
    <x v="2"/>
    <n v="3766.81"/>
    <s v="Restaurant"/>
    <s v="Phoenix"/>
    <s v="Yes"/>
    <s v="Walmart"/>
    <s v="Paid"/>
    <s v="-"/>
    <s v="October"/>
    <n v="2025"/>
    <s v="high"/>
  </r>
  <r>
    <n v="92"/>
    <d v="2025-08-02T00:00:00"/>
    <s v="Food"/>
    <s v="Sample expense 92"/>
    <x v="2"/>
    <n v="3784.99"/>
    <s v="Snacks"/>
    <s v="Los Angeles"/>
    <s v="No"/>
    <s v="Subway"/>
    <s v="Paid"/>
    <s v="-"/>
    <s v="August"/>
    <n v="2025"/>
    <s v="high"/>
  </r>
  <r>
    <n v="93"/>
    <d v="2025-10-20T00:00:00"/>
    <s v="Utilities"/>
    <s v="Sample expense 93"/>
    <x v="1"/>
    <n v="560.46"/>
    <s v="Gas"/>
    <s v="Houston"/>
    <s v="No"/>
    <s v="City Water"/>
    <s v="Paid"/>
    <s v="-"/>
    <s v="October"/>
    <n v="2025"/>
    <s v="normal"/>
  </r>
  <r>
    <n v="94"/>
    <d v="2025-11-30T00:00:00"/>
    <s v="Travel"/>
    <s v="Sample expense 94"/>
    <x v="0"/>
    <n v="4517.6400000000003"/>
    <s v="Fuel"/>
    <s v="Los Angeles"/>
    <s v="No"/>
    <s v="Delta Airlines"/>
    <s v="Paid"/>
    <s v="-"/>
    <s v="November"/>
    <n v="2025"/>
    <s v="high"/>
  </r>
  <r>
    <n v="95"/>
    <d v="2025-12-07T00:00:00"/>
    <s v="Medical"/>
    <s v="Sample expense 95"/>
    <x v="1"/>
    <n v="2551"/>
    <s v="Hospital"/>
    <s v="Phoenix"/>
    <s v="No"/>
    <s v="Walgreens"/>
    <s v="Paid"/>
    <s v="-"/>
    <s v="December"/>
    <n v="2025"/>
    <s v="normal"/>
  </r>
  <r>
    <n v="96"/>
    <d v="2025-09-25T00:00:00"/>
    <s v="Shopping"/>
    <s v="Sample expense 96"/>
    <x v="2"/>
    <n v="4140.96"/>
    <s v="Clothes"/>
    <s v="Miami"/>
    <s v="No"/>
    <s v="Macy's"/>
    <s v="Paid"/>
    <s v="-"/>
    <s v="September"/>
    <n v="2025"/>
    <s v="high"/>
  </r>
  <r>
    <n v="97"/>
    <d v="2025-12-10T00:00:00"/>
    <s v="Travel"/>
    <s v="Sample expense 97"/>
    <x v="0"/>
    <n v="1634.25"/>
    <s v="Flight"/>
    <s v="Phoenix"/>
    <s v="No"/>
    <s v="Delta Airlines"/>
    <s v="Paid"/>
    <s v="-"/>
    <s v="December"/>
    <n v="2025"/>
    <s v="normal"/>
  </r>
  <r>
    <n v="98"/>
    <d v="2025-10-13T00:00:00"/>
    <s v="Utilities"/>
    <s v="Sample expense 98"/>
    <x v="1"/>
    <n v="4482.84"/>
    <s v="Water"/>
    <s v="Miami"/>
    <s v="No"/>
    <s v="ComEd"/>
    <s v="Paid"/>
    <s v="-"/>
    <s v="October"/>
    <n v="2025"/>
    <s v="high"/>
  </r>
  <r>
    <n v="99"/>
    <d v="2025-12-07T00:00:00"/>
    <s v="Utilities"/>
    <s v="Sample expense 99"/>
    <x v="0"/>
    <n v="1976.55"/>
    <s v="Gas"/>
    <s v="New York"/>
    <s v="No"/>
    <s v="ComEd"/>
    <s v="Paid"/>
    <s v="-"/>
    <s v="December"/>
    <n v="2025"/>
    <s v="normal"/>
  </r>
  <r>
    <n v="100"/>
    <d v="2026-01-03T00:00:00"/>
    <s v="Travel"/>
    <s v="Sample expense 100"/>
    <x v="1"/>
    <n v="103.65"/>
    <s v="Flight"/>
    <s v="Phoenix"/>
    <s v="No"/>
    <s v="Greyhound"/>
    <s v="Paid"/>
    <s v="-"/>
    <s v="January"/>
    <n v="2026"/>
    <s v="normal"/>
  </r>
  <r>
    <n v="101"/>
    <d v="2026-01-03T00:00:00"/>
    <s v="Utilities"/>
    <s v="Sample expense 101"/>
    <x v="0"/>
    <n v="4531.6400000000003"/>
    <s v="Internet"/>
    <s v="New York"/>
    <s v="No"/>
    <s v="ComEd"/>
    <s v="Paid"/>
    <s v="-"/>
    <s v="January"/>
    <n v="2026"/>
    <s v="high"/>
  </r>
  <r>
    <n v="102"/>
    <d v="2025-08-26T00:00:00"/>
    <s v="Travel"/>
    <s v="Sample expense 102"/>
    <x v="2"/>
    <n v="501.87"/>
    <s v="Fuel"/>
    <s v="Houston"/>
    <s v="No"/>
    <s v="Shell Fuel"/>
    <s v="Paid"/>
    <s v="-"/>
    <s v="August"/>
    <n v="2025"/>
    <s v="normal"/>
  </r>
  <r>
    <n v="103"/>
    <d v="2025-11-24T00:00:00"/>
    <s v="Rent"/>
    <s v="Sample expense 103"/>
    <x v="2"/>
    <n v="1630.6"/>
    <s v="Apartment"/>
    <s v="Los Angeles"/>
    <s v="No"/>
    <s v="ABC Realty"/>
    <s v="Paid"/>
    <s v="-"/>
    <s v="November"/>
    <n v="2025"/>
    <s v="normal"/>
  </r>
  <r>
    <n v="104"/>
    <d v="2025-07-29T00:00:00"/>
    <s v="Travel"/>
    <s v="Sample expense 104"/>
    <x v="0"/>
    <n v="4752.8100000000004"/>
    <s v="Taxi"/>
    <s v="Miami"/>
    <s v="No"/>
    <s v="Uber"/>
    <s v="Pending"/>
    <s v="-"/>
    <s v="July"/>
    <n v="2025"/>
    <s v="high"/>
  </r>
  <r>
    <n v="105"/>
    <d v="2025-09-03T00:00:00"/>
    <s v="Entertainment"/>
    <s v="Sample expense 105"/>
    <x v="1"/>
    <n v="4755.51"/>
    <s v="Games"/>
    <s v="Los Angeles"/>
    <s v="No"/>
    <s v="PlayStation Store"/>
    <s v="Paid"/>
    <s v="-"/>
    <s v="September"/>
    <n v="2025"/>
    <s v="high"/>
  </r>
  <r>
    <n v="106"/>
    <d v="2025-08-21T00:00:00"/>
    <s v="Travel"/>
    <s v="Sample expense 106"/>
    <x v="2"/>
    <n v="2888.52"/>
    <s v="Taxi"/>
    <s v="New York"/>
    <s v="No"/>
    <s v="Delta Airlines"/>
    <s v="Paid"/>
    <s v="-"/>
    <s v="August"/>
    <n v="2025"/>
    <s v="normal"/>
  </r>
  <r>
    <n v="107"/>
    <d v="2025-12-06T00:00:00"/>
    <s v="Utilities"/>
    <s v="Sample expense 107"/>
    <x v="2"/>
    <n v="3177.59"/>
    <s v="Water"/>
    <s v="Miami"/>
    <s v="No"/>
    <s v="Verizon"/>
    <s v="Paid"/>
    <s v="-"/>
    <s v="December"/>
    <n v="2025"/>
    <s v="high"/>
  </r>
  <r>
    <n v="108"/>
    <d v="2025-10-04T00:00:00"/>
    <s v="Entertainment"/>
    <s v="Sample expense 108"/>
    <x v="2"/>
    <n v="2269.81"/>
    <s v="Subscription"/>
    <s v="Los Angeles"/>
    <s v="No"/>
    <s v="PlayStation Store"/>
    <s v="Paid"/>
    <s v="-"/>
    <s v="October"/>
    <n v="2025"/>
    <s v="normal"/>
  </r>
  <r>
    <n v="109"/>
    <d v="2025-08-05T00:00:00"/>
    <s v="Utilities"/>
    <s v="Sample expense 109"/>
    <x v="0"/>
    <n v="1501.39"/>
    <s v="Internet"/>
    <s v="Phoenix"/>
    <s v="No"/>
    <s v="City Water"/>
    <s v="Paid"/>
    <s v="-"/>
    <s v="August"/>
    <n v="2025"/>
    <s v="normal"/>
  </r>
  <r>
    <n v="110"/>
    <d v="2026-01-02T00:00:00"/>
    <s v="Food"/>
    <s v="Sample expense 110"/>
    <x v="0"/>
    <n v="1676.89"/>
    <s v="Groceries"/>
    <s v="Chicago"/>
    <s v="No"/>
    <s v="Walmart"/>
    <s v="Paid"/>
    <s v="-"/>
    <s v="January"/>
    <n v="2026"/>
    <s v="normal"/>
  </r>
  <r>
    <n v="111"/>
    <d v="2025-08-26T00:00:00"/>
    <s v="Food"/>
    <s v="Sample expense 111"/>
    <x v="1"/>
    <n v="3378.97"/>
    <s v="Snacks"/>
    <s v="New York"/>
    <s v="Yes"/>
    <s v="Domino's"/>
    <s v="Paid"/>
    <s v="-"/>
    <s v="August"/>
    <n v="2025"/>
    <s v="high"/>
  </r>
  <r>
    <n v="112"/>
    <d v="2025-09-10T00:00:00"/>
    <s v="Entertainment"/>
    <s v="Sample expense 112"/>
    <x v="1"/>
    <n v="3774.25"/>
    <s v="Movies"/>
    <s v="Los Angeles"/>
    <s v="No"/>
    <s v="Netflix"/>
    <s v="Paid"/>
    <s v="-"/>
    <s v="September"/>
    <n v="2025"/>
    <s v="high"/>
  </r>
  <r>
    <n v="113"/>
    <d v="2025-12-22T00:00:00"/>
    <s v="Rent"/>
    <s v="Sample expense 113"/>
    <x v="1"/>
    <n v="3968.32"/>
    <s v="Office"/>
    <s v="New York"/>
    <s v="No"/>
    <s v="OfficeLease"/>
    <s v="Paid"/>
    <s v="-"/>
    <s v="December"/>
    <n v="2025"/>
    <s v="high"/>
  </r>
  <r>
    <n v="114"/>
    <d v="2025-09-24T00:00:00"/>
    <s v="Food"/>
    <s v="Sample expense 114"/>
    <x v="0"/>
    <n v="3958.61"/>
    <s v="Snacks"/>
    <s v="New York"/>
    <s v="No"/>
    <s v="Walmart"/>
    <s v="Paid"/>
    <s v="-"/>
    <s v="September"/>
    <n v="2025"/>
    <s v="high"/>
  </r>
  <r>
    <n v="115"/>
    <d v="2025-08-30T00:00:00"/>
    <s v="Travel"/>
    <s v="Sample expense 115"/>
    <x v="0"/>
    <n v="501.47"/>
    <s v="Taxi"/>
    <s v="Miami"/>
    <s v="Yes"/>
    <s v="Shell Fuel"/>
    <s v="Paid"/>
    <s v="-"/>
    <s v="August"/>
    <n v="2025"/>
    <s v="normal"/>
  </r>
  <r>
    <n v="116"/>
    <d v="2025-10-31T00:00:00"/>
    <s v="Utilities"/>
    <s v="Sample expense 116"/>
    <x v="1"/>
    <n v="2497.38"/>
    <s v="Water"/>
    <s v="Miami"/>
    <s v="No"/>
    <s v="ComEd"/>
    <s v="Paid"/>
    <s v="-"/>
    <s v="October"/>
    <n v="2025"/>
    <s v="normal"/>
  </r>
  <r>
    <n v="117"/>
    <d v="2026-01-12T00:00:00"/>
    <s v="Food"/>
    <s v="Sample expense 117"/>
    <x v="1"/>
    <n v="334.92"/>
    <s v="Snacks"/>
    <s v="Chicago"/>
    <s v="No"/>
    <s v="Starbucks"/>
    <s v="Paid"/>
    <s v="-"/>
    <s v="January"/>
    <n v="2026"/>
    <s v="normal"/>
  </r>
  <r>
    <n v="118"/>
    <d v="2025-11-05T00:00:00"/>
    <s v="Food"/>
    <s v="Sample expense 118"/>
    <x v="0"/>
    <n v="2770.17"/>
    <s v="Snacks"/>
    <s v="Phoenix"/>
    <s v="No"/>
    <s v="Subway"/>
    <s v="Paid"/>
    <s v="-"/>
    <s v="November"/>
    <n v="2025"/>
    <s v="normal"/>
  </r>
  <r>
    <n v="119"/>
    <d v="2025-08-28T00:00:00"/>
    <s v="Rent"/>
    <s v="Sample expense 119"/>
    <x v="1"/>
    <n v="2235.58"/>
    <s v="Apartment"/>
    <s v="New York"/>
    <s v="No"/>
    <s v="OfficeLease"/>
    <s v="Paid"/>
    <s v="-"/>
    <s v="August"/>
    <n v="2025"/>
    <s v="normal"/>
  </r>
  <r>
    <n v="120"/>
    <d v="2025-11-02T00:00:00"/>
    <s v="Entertainment"/>
    <s v="Sample expense 120"/>
    <x v="2"/>
    <n v="4444.1400000000003"/>
    <s v="Movies"/>
    <s v="Los Angeles"/>
    <s v="No"/>
    <s v="AMC"/>
    <s v="Paid"/>
    <s v="-"/>
    <s v="November"/>
    <n v="2025"/>
    <s v="high"/>
  </r>
  <r>
    <n v="121"/>
    <d v="2026-01-15T00:00:00"/>
    <s v="Entertainment"/>
    <s v="Sample expense 121"/>
    <x v="0"/>
    <n v="1787.03"/>
    <s v="Movies"/>
    <s v="Houston"/>
    <s v="Yes"/>
    <s v="PlayStation Store"/>
    <s v="Paid"/>
    <s v="-"/>
    <s v="January"/>
    <n v="2026"/>
    <s v="normal"/>
  </r>
  <r>
    <n v="122"/>
    <d v="2025-12-02T00:00:00"/>
    <s v="Medical"/>
    <s v="Sample expense 122"/>
    <x v="1"/>
    <n v="629.48"/>
    <s v="Doctor"/>
    <s v="New York"/>
    <s v="No"/>
    <s v="HealthCare Inc"/>
    <s v="Paid"/>
    <s v="-"/>
    <s v="December"/>
    <n v="2025"/>
    <s v="normal"/>
  </r>
  <r>
    <n v="123"/>
    <d v="2025-07-25T00:00:00"/>
    <s v="Rent"/>
    <s v="Sample expense 123"/>
    <x v="0"/>
    <n v="757.81"/>
    <s v="Apartment"/>
    <s v="New York"/>
    <s v="No"/>
    <s v="HomeStay"/>
    <s v="Paid"/>
    <s v="-"/>
    <s v="July"/>
    <n v="2025"/>
    <s v="normal"/>
  </r>
  <r>
    <n v="124"/>
    <d v="2025-07-29T00:00:00"/>
    <s v="Travel"/>
    <s v="Sample expense 124"/>
    <x v="2"/>
    <n v="3819.48"/>
    <s v="Train"/>
    <s v="Chicago"/>
    <s v="No"/>
    <s v="Shell Fuel"/>
    <s v="Paid"/>
    <s v="-"/>
    <s v="July"/>
    <n v="2025"/>
    <s v="high"/>
  </r>
  <r>
    <n v="125"/>
    <d v="2025-12-13T00:00:00"/>
    <s v="Entertainment"/>
    <s v="Sample expense 125"/>
    <x v="0"/>
    <n v="3110.18"/>
    <s v="Concert"/>
    <s v="Phoenix"/>
    <s v="Yes"/>
    <s v="Spotify"/>
    <s v="Paid"/>
    <s v="-"/>
    <s v="December"/>
    <n v="2025"/>
    <s v="high"/>
  </r>
  <r>
    <n v="126"/>
    <d v="2025-11-04T00:00:00"/>
    <s v="Utilities"/>
    <s v="Sample expense 126"/>
    <x v="0"/>
    <n v="550.55999999999995"/>
    <s v="Electricity"/>
    <s v="Houston"/>
    <s v="No"/>
    <s v="ComEd"/>
    <s v="Paid"/>
    <s v="-"/>
    <s v="November"/>
    <n v="2025"/>
    <s v="normal"/>
  </r>
  <r>
    <n v="127"/>
    <d v="2025-08-20T00:00:00"/>
    <s v="Rent"/>
    <s v="Sample expense 127"/>
    <x v="0"/>
    <n v="466.33"/>
    <s v="Apartment"/>
    <s v="Miami"/>
    <s v="No"/>
    <s v="ABC Realty"/>
    <s v="Paid"/>
    <s v="-"/>
    <s v="August"/>
    <n v="2025"/>
    <s v="normal"/>
  </r>
  <r>
    <n v="128"/>
    <d v="2025-12-08T00:00:00"/>
    <s v="Food"/>
    <s v="Sample expense 128"/>
    <x v="0"/>
    <n v="3519.8"/>
    <s v="Beverages"/>
    <s v="Miami"/>
    <s v="No"/>
    <s v="Walmart"/>
    <s v="Paid"/>
    <s v="-"/>
    <s v="December"/>
    <n v="2025"/>
    <s v="high"/>
  </r>
  <r>
    <n v="129"/>
    <d v="2025-08-08T00:00:00"/>
    <s v="Utilities"/>
    <s v="Sample expense 129"/>
    <x v="2"/>
    <n v="410.18"/>
    <s v="Internet"/>
    <s v="Los Angeles"/>
    <s v="No"/>
    <s v="ComEd"/>
    <s v="Pending"/>
    <s v="-"/>
    <s v="August"/>
    <n v="2025"/>
    <s v="normal"/>
  </r>
  <r>
    <n v="130"/>
    <d v="2025-10-22T00:00:00"/>
    <s v="Utilities"/>
    <s v="Sample expense 130"/>
    <x v="0"/>
    <n v="4118.21"/>
    <s v="Water"/>
    <s v="Houston"/>
    <s v="No"/>
    <s v="Verizon"/>
    <s v="Paid"/>
    <s v="-"/>
    <s v="October"/>
    <n v="2025"/>
    <s v="high"/>
  </r>
  <r>
    <n v="131"/>
    <d v="2025-09-04T00:00:00"/>
    <s v="Food"/>
    <s v="Sample expense 131"/>
    <x v="0"/>
    <n v="3545.9"/>
    <s v="Beverages"/>
    <s v="Miami"/>
    <s v="Yes"/>
    <s v="Domino's"/>
    <s v="Pending"/>
    <s v="-"/>
    <s v="September"/>
    <n v="2025"/>
    <s v="high"/>
  </r>
  <r>
    <n v="132"/>
    <d v="2025-11-25T00:00:00"/>
    <s v="Rent"/>
    <s v="Sample expense 132"/>
    <x v="1"/>
    <n v="452.68"/>
    <s v="Apartment"/>
    <s v="Los Angeles"/>
    <s v="No"/>
    <s v="OfficeLease"/>
    <s v="Paid"/>
    <s v="-"/>
    <s v="November"/>
    <n v="2025"/>
    <s v="normal"/>
  </r>
  <r>
    <n v="133"/>
    <d v="2026-01-19T00:00:00"/>
    <s v="Food"/>
    <s v="Sample expense 133"/>
    <x v="0"/>
    <n v="469.95"/>
    <s v="Groceries"/>
    <s v="Phoenix"/>
    <s v="Yes"/>
    <s v="Starbucks"/>
    <s v="Paid"/>
    <s v="-"/>
    <s v="January"/>
    <n v="2026"/>
    <s v="normal"/>
  </r>
  <r>
    <n v="134"/>
    <d v="2025-09-25T00:00:00"/>
    <s v="Medical"/>
    <s v="Sample expense 134"/>
    <x v="1"/>
    <n v="4933.87"/>
    <s v="Hospital"/>
    <s v="Los Angeles"/>
    <s v="No"/>
    <s v="CVS"/>
    <s v="Paid"/>
    <s v="-"/>
    <s v="September"/>
    <n v="2025"/>
    <s v="high"/>
  </r>
  <r>
    <n v="135"/>
    <d v="2025-10-28T00:00:00"/>
    <s v="Utilities"/>
    <s v="Sample expense 135"/>
    <x v="2"/>
    <n v="1902.64"/>
    <s v="Electricity"/>
    <s v="Miami"/>
    <s v="No"/>
    <s v="Verizon"/>
    <s v="Paid"/>
    <s v="-"/>
    <s v="October"/>
    <n v="2025"/>
    <s v="normal"/>
  </r>
  <r>
    <n v="136"/>
    <d v="2025-09-14T00:00:00"/>
    <s v="Shopping"/>
    <s v="Sample expense 136"/>
    <x v="2"/>
    <n v="1884.68"/>
    <s v="Electronics"/>
    <s v="Chicago"/>
    <s v="Yes"/>
    <s v="Best Buy"/>
    <s v="Paid"/>
    <s v="-"/>
    <s v="September"/>
    <n v="2025"/>
    <s v="normal"/>
  </r>
  <r>
    <n v="137"/>
    <d v="2025-10-28T00:00:00"/>
    <s v="Shopping"/>
    <s v="Sample expense 137"/>
    <x v="2"/>
    <n v="4073.36"/>
    <s v="Home Decor"/>
    <s v="Chicago"/>
    <s v="No"/>
    <s v="Best Buy"/>
    <s v="Paid"/>
    <s v="-"/>
    <s v="October"/>
    <n v="2025"/>
    <s v="high"/>
  </r>
  <r>
    <n v="138"/>
    <d v="2025-12-03T00:00:00"/>
    <s v="Travel"/>
    <s v="Sample expense 138"/>
    <x v="2"/>
    <n v="4738.88"/>
    <s v="Fuel"/>
    <s v="Chicago"/>
    <s v="No"/>
    <s v="Delta Airlines"/>
    <s v="Paid"/>
    <s v="-"/>
    <s v="December"/>
    <n v="2025"/>
    <s v="high"/>
  </r>
  <r>
    <n v="139"/>
    <d v="2025-12-22T00:00:00"/>
    <s v="Entertainment"/>
    <s v="Sample expense 139"/>
    <x v="1"/>
    <n v="4930.71"/>
    <s v="Concert"/>
    <s v="Miami"/>
    <s v="No"/>
    <s v="Spotify"/>
    <s v="Paid"/>
    <s v="-"/>
    <s v="December"/>
    <n v="2025"/>
    <s v="high"/>
  </r>
  <r>
    <n v="140"/>
    <d v="2025-12-14T00:00:00"/>
    <s v="Food"/>
    <s v="Sample expense 140"/>
    <x v="0"/>
    <n v="3779.22"/>
    <s v="Groceries"/>
    <s v="Chicago"/>
    <s v="No"/>
    <s v="Starbucks"/>
    <s v="Paid"/>
    <s v="-"/>
    <s v="December"/>
    <n v="2025"/>
    <s v="high"/>
  </r>
  <r>
    <n v="141"/>
    <d v="2026-01-11T00:00:00"/>
    <s v="Food"/>
    <s v="Sample expense 141"/>
    <x v="2"/>
    <n v="1912.48"/>
    <s v="Groceries"/>
    <s v="Houston"/>
    <s v="No"/>
    <s v="Domino's"/>
    <s v="Paid"/>
    <s v="-"/>
    <s v="January"/>
    <n v="2026"/>
    <s v="normal"/>
  </r>
  <r>
    <n v="142"/>
    <d v="2025-08-22T00:00:00"/>
    <s v="Travel"/>
    <s v="Sample expense 142"/>
    <x v="0"/>
    <n v="463.33"/>
    <s v="Fuel"/>
    <s v="Phoenix"/>
    <s v="No"/>
    <s v="Uber"/>
    <s v="Paid"/>
    <s v="-"/>
    <s v="August"/>
    <n v="2025"/>
    <s v="normal"/>
  </r>
  <r>
    <n v="143"/>
    <d v="2025-08-29T00:00:00"/>
    <s v="Travel"/>
    <s v="Sample expense 143"/>
    <x v="1"/>
    <n v="3896.88"/>
    <s v="Flight"/>
    <s v="Los Angeles"/>
    <s v="No"/>
    <s v="Delta Airlines"/>
    <s v="Paid"/>
    <s v="-"/>
    <s v="August"/>
    <n v="2025"/>
    <s v="high"/>
  </r>
  <r>
    <n v="144"/>
    <d v="2025-08-06T00:00:00"/>
    <s v="Travel"/>
    <s v="Sample expense 144"/>
    <x v="1"/>
    <n v="2814.1"/>
    <s v="Flight"/>
    <s v="Los Angeles"/>
    <s v="No"/>
    <s v="Delta Airlines"/>
    <s v="Pending"/>
    <s v="-"/>
    <s v="August"/>
    <n v="2025"/>
    <s v="normal"/>
  </r>
  <r>
    <n v="145"/>
    <d v="2025-12-31T00:00:00"/>
    <s v="Utilities"/>
    <s v="Sample expense 145"/>
    <x v="1"/>
    <n v="2149.9"/>
    <s v="Internet"/>
    <s v="Miami"/>
    <s v="Yes"/>
    <s v="Verizon"/>
    <s v="Pending"/>
    <s v="-"/>
    <s v="December"/>
    <n v="2025"/>
    <s v="normal"/>
  </r>
  <r>
    <n v="146"/>
    <d v="2025-10-03T00:00:00"/>
    <s v="Medical"/>
    <s v="Sample expense 146"/>
    <x v="2"/>
    <n v="4536.45"/>
    <s v="Pharmacy"/>
    <s v="Chicago"/>
    <s v="No"/>
    <s v="HealthCare Inc"/>
    <s v="Paid"/>
    <s v="-"/>
    <s v="October"/>
    <n v="2025"/>
    <s v="high"/>
  </r>
  <r>
    <n v="147"/>
    <d v="2025-10-18T00:00:00"/>
    <s v="Food"/>
    <s v="Sample expense 147"/>
    <x v="0"/>
    <n v="600.42999999999995"/>
    <s v="Groceries"/>
    <s v="Chicago"/>
    <s v="No"/>
    <s v="Subway"/>
    <s v="Paid"/>
    <s v="-"/>
    <s v="October"/>
    <n v="2025"/>
    <s v="normal"/>
  </r>
  <r>
    <n v="148"/>
    <d v="2025-08-21T00:00:00"/>
    <s v="Utilities"/>
    <s v="Sample expense 148"/>
    <x v="0"/>
    <n v="2488.4899999999998"/>
    <s v="Water"/>
    <s v="New York"/>
    <s v="No"/>
    <s v="GasCo"/>
    <s v="Pending"/>
    <s v="-"/>
    <s v="August"/>
    <n v="2025"/>
    <s v="normal"/>
  </r>
  <r>
    <n v="149"/>
    <d v="2025-09-28T00:00:00"/>
    <s v="Travel"/>
    <s v="Sample expense 149"/>
    <x v="0"/>
    <n v="106.2"/>
    <s v="Taxi"/>
    <s v="Phoenix"/>
    <s v="No"/>
    <s v="Uber"/>
    <s v="Paid"/>
    <s v="-"/>
    <s v="September"/>
    <n v="2025"/>
    <s v="normal"/>
  </r>
  <r>
    <n v="150"/>
    <d v="2026-01-10T00:00:00"/>
    <s v="Food"/>
    <s v="Sample expense 150"/>
    <x v="1"/>
    <n v="2369.87"/>
    <s v="Restaurant"/>
    <s v="Houston"/>
    <s v="No"/>
    <s v="Domino's"/>
    <s v="Paid"/>
    <s v="-"/>
    <s v="January"/>
    <n v="2026"/>
    <s v="normal"/>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n v="1"/>
    <d v="2025-11-04T00:00:00"/>
    <s v="Shopping"/>
    <x v="0"/>
    <s v="Card"/>
    <n v="3986.17"/>
    <s v="Electronics"/>
    <x v="0"/>
    <x v="0"/>
    <s v="Macy's"/>
    <s v="Paid"/>
    <s v="-"/>
    <s v="November"/>
    <n v="2025"/>
    <s v="high"/>
  </r>
  <r>
    <n v="2"/>
    <d v="2026-01-20T00:00:00"/>
    <s v="Medical"/>
    <x v="1"/>
    <s v="Card"/>
    <n v="1390.62"/>
    <s v="Health Insurance"/>
    <x v="1"/>
    <x v="1"/>
    <s v="Walgreens"/>
    <s v="Pending"/>
    <s v="-"/>
    <s v="January"/>
    <n v="2026"/>
    <s v="normal"/>
  </r>
  <r>
    <n v="3"/>
    <d v="2025-10-25T00:00:00"/>
    <s v="Food"/>
    <x v="2"/>
    <s v="UPI"/>
    <n v="2222.91"/>
    <s v="Beverages"/>
    <x v="2"/>
    <x v="1"/>
    <s v="Walmart"/>
    <s v="Paid"/>
    <s v="-"/>
    <s v="October"/>
    <n v="2025"/>
    <s v="normal"/>
  </r>
  <r>
    <n v="4"/>
    <d v="2025-08-08T00:00:00"/>
    <s v="Shopping"/>
    <x v="3"/>
    <s v="Card"/>
    <n v="438.36"/>
    <s v="Accessories"/>
    <x v="2"/>
    <x v="1"/>
    <s v="Macy's"/>
    <s v="Paid"/>
    <s v="-"/>
    <s v="August"/>
    <n v="2025"/>
    <s v="normal"/>
  </r>
  <r>
    <n v="5"/>
    <d v="2025-11-08T00:00:00"/>
    <s v="Medical"/>
    <x v="4"/>
    <s v="Cash"/>
    <n v="175.49"/>
    <s v="Pharmacy"/>
    <x v="3"/>
    <x v="0"/>
    <s v="Walgreens"/>
    <s v="Paid"/>
    <s v="-"/>
    <s v="November"/>
    <n v="2025"/>
    <s v="normal"/>
  </r>
  <r>
    <n v="6"/>
    <d v="2025-10-04T00:00:00"/>
    <s v="Utilities"/>
    <x v="5"/>
    <s v="UPI"/>
    <n v="4815.1099999999997"/>
    <s v="Internet"/>
    <x v="4"/>
    <x v="1"/>
    <s v="Verizon"/>
    <s v="Paid"/>
    <s v="-"/>
    <s v="October"/>
    <n v="2025"/>
    <s v="high"/>
  </r>
  <r>
    <n v="7"/>
    <d v="2025-08-14T00:00:00"/>
    <s v="Utilities"/>
    <x v="6"/>
    <s v="Cash"/>
    <n v="4188.1000000000004"/>
    <s v="Electricity"/>
    <x v="0"/>
    <x v="1"/>
    <s v="ComEd"/>
    <s v="Paid"/>
    <s v="-"/>
    <s v="August"/>
    <n v="2025"/>
    <s v="high"/>
  </r>
  <r>
    <n v="8"/>
    <d v="2025-11-04T00:00:00"/>
    <s v="Utilities"/>
    <x v="7"/>
    <s v="Cash"/>
    <n v="3495.07"/>
    <s v="Internet"/>
    <x v="0"/>
    <x v="1"/>
    <s v="ComEd"/>
    <s v="Paid"/>
    <s v="-"/>
    <s v="November"/>
    <n v="2025"/>
    <s v="high"/>
  </r>
  <r>
    <n v="9"/>
    <d v="2025-11-23T00:00:00"/>
    <s v="Utilities"/>
    <x v="8"/>
    <s v="Card"/>
    <n v="2074.3200000000002"/>
    <s v="Electricity"/>
    <x v="5"/>
    <x v="1"/>
    <s v="City Water"/>
    <s v="Paid"/>
    <s v="-"/>
    <s v="November"/>
    <n v="2025"/>
    <s v="normal"/>
  </r>
  <r>
    <n v="10"/>
    <d v="2025-10-07T00:00:00"/>
    <s v="Utilities"/>
    <x v="9"/>
    <s v="Card"/>
    <n v="907.81"/>
    <s v="Internet"/>
    <x v="3"/>
    <x v="1"/>
    <s v="GasCo"/>
    <s v="Paid"/>
    <s v="-"/>
    <s v="October"/>
    <n v="2025"/>
    <s v="normal"/>
  </r>
  <r>
    <n v="11"/>
    <d v="2025-10-20T00:00:00"/>
    <s v="Medical"/>
    <x v="10"/>
    <s v="Card"/>
    <n v="824.36"/>
    <s v="Pharmacy"/>
    <x v="5"/>
    <x v="0"/>
    <s v="City Hospital"/>
    <s v="Paid"/>
    <s v="-"/>
    <s v="October"/>
    <n v="2025"/>
    <s v="normal"/>
  </r>
  <r>
    <n v="12"/>
    <d v="2025-11-18T00:00:00"/>
    <s v="Medical"/>
    <x v="11"/>
    <s v="Card"/>
    <n v="1288.7"/>
    <s v="Health Insurance"/>
    <x v="5"/>
    <x v="1"/>
    <s v="HealthCare Inc"/>
    <s v="Paid"/>
    <s v="-"/>
    <s v="November"/>
    <n v="2025"/>
    <s v="normal"/>
  </r>
  <r>
    <n v="13"/>
    <d v="2025-11-01T00:00:00"/>
    <s v="Travel"/>
    <x v="12"/>
    <s v="Card"/>
    <n v="2768.67"/>
    <s v="Taxi"/>
    <x v="5"/>
    <x v="1"/>
    <s v="Shell Fuel"/>
    <s v="Paid"/>
    <s v="-"/>
    <s v="November"/>
    <n v="2025"/>
    <s v="normal"/>
  </r>
  <r>
    <n v="14"/>
    <d v="2025-11-05T00:00:00"/>
    <s v="Rent"/>
    <x v="13"/>
    <s v="UPI"/>
    <n v="3587.25"/>
    <s v="Storage"/>
    <x v="4"/>
    <x v="1"/>
    <s v="ABC Realty"/>
    <s v="Paid"/>
    <s v="-"/>
    <s v="November"/>
    <n v="2025"/>
    <s v="high"/>
  </r>
  <r>
    <n v="15"/>
    <d v="2025-12-23T00:00:00"/>
    <s v="Entertainment"/>
    <x v="14"/>
    <s v="Cash"/>
    <n v="3317.98"/>
    <s v="Subscription"/>
    <x v="4"/>
    <x v="1"/>
    <s v="PlayStation Store"/>
    <s v="Paid"/>
    <s v="-"/>
    <s v="December"/>
    <n v="2025"/>
    <s v="high"/>
  </r>
  <r>
    <n v="16"/>
    <d v="2025-12-02T00:00:00"/>
    <s v="Utilities"/>
    <x v="15"/>
    <s v="Cash"/>
    <n v="1435.67"/>
    <s v="Electricity"/>
    <x v="1"/>
    <x v="0"/>
    <s v="ComEd"/>
    <s v="Paid"/>
    <s v="-"/>
    <s v="December"/>
    <n v="2025"/>
    <s v="normal"/>
  </r>
  <r>
    <n v="17"/>
    <d v="2025-12-21T00:00:00"/>
    <s v="Food"/>
    <x v="16"/>
    <s v="Cash"/>
    <n v="4776.58"/>
    <s v="Groceries"/>
    <x v="1"/>
    <x v="1"/>
    <s v="Domino's"/>
    <s v="Paid"/>
    <s v="-"/>
    <s v="December"/>
    <n v="2025"/>
    <s v="high"/>
  </r>
  <r>
    <n v="18"/>
    <d v="2025-09-15T00:00:00"/>
    <s v="Entertainment"/>
    <x v="17"/>
    <s v="Cash"/>
    <n v="3702.59"/>
    <s v="Subscription"/>
    <x v="5"/>
    <x v="1"/>
    <s v="AMC"/>
    <s v="Paid"/>
    <s v="-"/>
    <s v="September"/>
    <n v="2025"/>
    <s v="high"/>
  </r>
  <r>
    <n v="19"/>
    <d v="2025-07-26T00:00:00"/>
    <s v="Medical"/>
    <x v="18"/>
    <s v="Card"/>
    <n v="2794.05"/>
    <s v="Pharmacy"/>
    <x v="3"/>
    <x v="1"/>
    <s v="Walgreens"/>
    <s v="Paid"/>
    <s v="-"/>
    <s v="July"/>
    <n v="2025"/>
    <s v="normal"/>
  </r>
  <r>
    <n v="20"/>
    <d v="2025-10-20T00:00:00"/>
    <s v="Food"/>
    <x v="19"/>
    <s v="Cash"/>
    <n v="3078.02"/>
    <s v="Restaurant"/>
    <x v="0"/>
    <x v="1"/>
    <s v="Walmart"/>
    <s v="Paid"/>
    <s v="-"/>
    <s v="October"/>
    <n v="2025"/>
    <s v="high"/>
  </r>
  <r>
    <n v="21"/>
    <d v="2025-12-29T00:00:00"/>
    <s v="Food"/>
    <x v="20"/>
    <s v="UPI"/>
    <n v="2127.02"/>
    <s v="Groceries"/>
    <x v="4"/>
    <x v="1"/>
    <s v="Domino's"/>
    <s v="Paid"/>
    <s v="-"/>
    <s v="December"/>
    <n v="2025"/>
    <s v="normal"/>
  </r>
  <r>
    <n v="22"/>
    <d v="2025-08-31T00:00:00"/>
    <s v="Food"/>
    <x v="21"/>
    <s v="UPI"/>
    <n v="1276.27"/>
    <s v="Restaurant"/>
    <x v="3"/>
    <x v="1"/>
    <s v="Subway"/>
    <s v="Paid"/>
    <s v="-"/>
    <s v="August"/>
    <n v="2025"/>
    <s v="normal"/>
  </r>
  <r>
    <n v="23"/>
    <d v="2025-12-01T00:00:00"/>
    <s v="Travel"/>
    <x v="22"/>
    <s v="Cash"/>
    <n v="1812.06"/>
    <s v="Flight"/>
    <x v="2"/>
    <x v="1"/>
    <s v="Delta Airlines"/>
    <s v="Paid"/>
    <s v="-"/>
    <s v="December"/>
    <n v="2025"/>
    <s v="normal"/>
  </r>
  <r>
    <n v="24"/>
    <d v="2025-08-14T00:00:00"/>
    <s v="Medical"/>
    <x v="23"/>
    <s v="Cash"/>
    <n v="3801.34"/>
    <s v="Health Insurance"/>
    <x v="4"/>
    <x v="1"/>
    <s v="CVS"/>
    <s v="Paid"/>
    <s v="-"/>
    <s v="August"/>
    <n v="2025"/>
    <s v="high"/>
  </r>
  <r>
    <n v="25"/>
    <d v="2026-01-01T00:00:00"/>
    <s v="Food"/>
    <x v="24"/>
    <s v="UPI"/>
    <n v="121.25"/>
    <s v="Groceries"/>
    <x v="4"/>
    <x v="0"/>
    <s v="Starbucks"/>
    <s v="Paid"/>
    <s v="-"/>
    <s v="January"/>
    <n v="2026"/>
    <s v="normal"/>
  </r>
  <r>
    <n v="26"/>
    <d v="2025-09-20T00:00:00"/>
    <s v="Utilities"/>
    <x v="25"/>
    <s v="UPI"/>
    <n v="624.55999999999995"/>
    <s v="Gas"/>
    <x v="1"/>
    <x v="0"/>
    <s v="City Water"/>
    <s v="Paid"/>
    <s v="-"/>
    <s v="September"/>
    <n v="2025"/>
    <s v="normal"/>
  </r>
  <r>
    <n v="27"/>
    <d v="2025-08-15T00:00:00"/>
    <s v="Shopping"/>
    <x v="26"/>
    <s v="Card"/>
    <n v="277.70999999999998"/>
    <s v="Clothes"/>
    <x v="0"/>
    <x v="1"/>
    <s v="Amazon"/>
    <s v="Paid"/>
    <s v="-"/>
    <s v="August"/>
    <n v="2025"/>
    <s v="normal"/>
  </r>
  <r>
    <n v="28"/>
    <d v="2025-10-21T00:00:00"/>
    <s v="Food"/>
    <x v="27"/>
    <s v="UPI"/>
    <n v="251.61"/>
    <s v="Groceries"/>
    <x v="0"/>
    <x v="0"/>
    <s v="Starbucks"/>
    <s v="Paid"/>
    <s v="-"/>
    <s v="October"/>
    <n v="2025"/>
    <s v="normal"/>
  </r>
  <r>
    <n v="29"/>
    <d v="2025-09-11T00:00:00"/>
    <s v="Travel"/>
    <x v="28"/>
    <s v="Card"/>
    <n v="4284.53"/>
    <s v="Fuel"/>
    <x v="2"/>
    <x v="0"/>
    <s v="Shell Fuel"/>
    <s v="Paid"/>
    <s v="-"/>
    <s v="September"/>
    <n v="2025"/>
    <s v="high"/>
  </r>
  <r>
    <n v="30"/>
    <d v="2025-09-21T00:00:00"/>
    <s v="Entertainment"/>
    <x v="29"/>
    <s v="Card"/>
    <n v="3533.11"/>
    <s v="Subscription"/>
    <x v="2"/>
    <x v="1"/>
    <s v="Netflix"/>
    <s v="Paid"/>
    <s v="-"/>
    <s v="September"/>
    <n v="2025"/>
    <s v="high"/>
  </r>
  <r>
    <n v="31"/>
    <d v="2026-01-10T00:00:00"/>
    <s v="Medical"/>
    <x v="30"/>
    <s v="Card"/>
    <n v="2397.16"/>
    <s v="Doctor"/>
    <x v="4"/>
    <x v="0"/>
    <s v="Walgreens"/>
    <s v="Paid"/>
    <s v="-"/>
    <s v="January"/>
    <n v="2026"/>
    <s v="normal"/>
  </r>
  <r>
    <n v="32"/>
    <d v="2025-08-08T00:00:00"/>
    <s v="Travel"/>
    <x v="31"/>
    <s v="Card"/>
    <n v="534.28"/>
    <s v="Fuel"/>
    <x v="5"/>
    <x v="1"/>
    <s v="Greyhound"/>
    <s v="Paid"/>
    <s v="-"/>
    <s v="August"/>
    <n v="2025"/>
    <s v="normal"/>
  </r>
  <r>
    <n v="33"/>
    <d v="2026-01-15T00:00:00"/>
    <s v="Food"/>
    <x v="32"/>
    <s v="Card"/>
    <n v="2483.5"/>
    <s v="Snacks"/>
    <x v="1"/>
    <x v="0"/>
    <s v="Subway"/>
    <s v="Paid"/>
    <s v="-"/>
    <s v="January"/>
    <n v="2026"/>
    <s v="normal"/>
  </r>
  <r>
    <n v="34"/>
    <d v="2025-09-13T00:00:00"/>
    <s v="Medical"/>
    <x v="33"/>
    <s v="Cash"/>
    <n v="2393.69"/>
    <s v="Health Insurance"/>
    <x v="1"/>
    <x v="1"/>
    <s v="CVS"/>
    <s v="Paid"/>
    <s v="-"/>
    <s v="September"/>
    <n v="2025"/>
    <s v="normal"/>
  </r>
  <r>
    <n v="35"/>
    <d v="2025-11-09T00:00:00"/>
    <s v="Shopping"/>
    <x v="34"/>
    <s v="UPI"/>
    <n v="907.35"/>
    <s v="Clothes"/>
    <x v="4"/>
    <x v="1"/>
    <s v="Target"/>
    <s v="Paid"/>
    <s v="-"/>
    <s v="November"/>
    <n v="2025"/>
    <s v="normal"/>
  </r>
  <r>
    <n v="36"/>
    <d v="2025-09-17T00:00:00"/>
    <s v="Food"/>
    <x v="35"/>
    <s v="Card"/>
    <n v="2197.5700000000002"/>
    <s v="Beverages"/>
    <x v="3"/>
    <x v="1"/>
    <s v="Walmart"/>
    <s v="Paid"/>
    <s v="-"/>
    <s v="September"/>
    <n v="2025"/>
    <s v="normal"/>
  </r>
  <r>
    <n v="37"/>
    <d v="2025-09-26T00:00:00"/>
    <s v="Travel"/>
    <x v="36"/>
    <s v="UPI"/>
    <n v="2022.6"/>
    <s v="Train"/>
    <x v="5"/>
    <x v="0"/>
    <s v="Uber"/>
    <s v="Paid"/>
    <s v="-"/>
    <s v="September"/>
    <n v="2025"/>
    <s v="normal"/>
  </r>
  <r>
    <n v="38"/>
    <d v="2025-12-02T00:00:00"/>
    <s v="Rent"/>
    <x v="37"/>
    <s v="UPI"/>
    <n v="3098.46"/>
    <s v="Storage"/>
    <x v="4"/>
    <x v="1"/>
    <s v="HomeStay"/>
    <s v="Paid"/>
    <s v="-"/>
    <s v="December"/>
    <n v="2025"/>
    <s v="high"/>
  </r>
  <r>
    <n v="39"/>
    <d v="2025-09-13T00:00:00"/>
    <s v="Utilities"/>
    <x v="38"/>
    <s v="Card"/>
    <n v="3193.71"/>
    <s v="Gas"/>
    <x v="5"/>
    <x v="1"/>
    <s v="Verizon"/>
    <s v="Paid"/>
    <s v="-"/>
    <s v="September"/>
    <n v="2025"/>
    <s v="high"/>
  </r>
  <r>
    <n v="40"/>
    <d v="2025-12-06T00:00:00"/>
    <s v="Entertainment"/>
    <x v="39"/>
    <s v="Cash"/>
    <n v="274.25"/>
    <s v="Movies"/>
    <x v="5"/>
    <x v="1"/>
    <s v="PlayStation Store"/>
    <s v="Paid"/>
    <s v="-"/>
    <s v="December"/>
    <n v="2025"/>
    <s v="normal"/>
  </r>
  <r>
    <n v="41"/>
    <d v="2025-08-14T00:00:00"/>
    <s v="Travel"/>
    <x v="40"/>
    <s v="Card"/>
    <n v="1904.33"/>
    <s v="Flight"/>
    <x v="5"/>
    <x v="1"/>
    <s v="Delta Airlines"/>
    <s v="Paid"/>
    <s v="-"/>
    <s v="August"/>
    <n v="2025"/>
    <s v="normal"/>
  </r>
  <r>
    <n v="42"/>
    <d v="2025-10-05T00:00:00"/>
    <s v="Medical"/>
    <x v="41"/>
    <s v="Cash"/>
    <n v="3148.01"/>
    <s v="Hospital"/>
    <x v="4"/>
    <x v="1"/>
    <s v="HealthCare Inc"/>
    <s v="Paid"/>
    <s v="-"/>
    <s v="October"/>
    <n v="2025"/>
    <s v="high"/>
  </r>
  <r>
    <n v="43"/>
    <d v="2026-01-07T00:00:00"/>
    <s v="Food"/>
    <x v="42"/>
    <s v="UPI"/>
    <n v="2540.52"/>
    <s v="Groceries"/>
    <x v="1"/>
    <x v="0"/>
    <s v="Walmart"/>
    <s v="Paid"/>
    <s v="-"/>
    <s v="January"/>
    <n v="2026"/>
    <s v="normal"/>
  </r>
  <r>
    <n v="44"/>
    <d v="2025-08-11T00:00:00"/>
    <s v="Utilities"/>
    <x v="43"/>
    <s v="Cash"/>
    <n v="4289.62"/>
    <s v="Electricity"/>
    <x v="1"/>
    <x v="1"/>
    <s v="ComEd"/>
    <s v="Paid"/>
    <s v="-"/>
    <s v="August"/>
    <n v="2025"/>
    <s v="high"/>
  </r>
  <r>
    <n v="45"/>
    <d v="2025-12-03T00:00:00"/>
    <s v="Food"/>
    <x v="44"/>
    <s v="Cash"/>
    <n v="3310.53"/>
    <s v="Restaurant"/>
    <x v="5"/>
    <x v="1"/>
    <s v="Subway"/>
    <s v="Paid"/>
    <s v="-"/>
    <s v="December"/>
    <n v="2025"/>
    <s v="high"/>
  </r>
  <r>
    <n v="46"/>
    <d v="2025-10-21T00:00:00"/>
    <s v="Medical"/>
    <x v="45"/>
    <s v="Cash"/>
    <n v="856.53"/>
    <s v="Hospital"/>
    <x v="3"/>
    <x v="1"/>
    <s v="Walgreens"/>
    <s v="Paid"/>
    <s v="-"/>
    <s v="October"/>
    <n v="2025"/>
    <s v="normal"/>
  </r>
  <r>
    <n v="47"/>
    <d v="2025-09-22T00:00:00"/>
    <s v="Food"/>
    <x v="46"/>
    <s v="UPI"/>
    <n v="399.32"/>
    <s v="Snacks"/>
    <x v="0"/>
    <x v="1"/>
    <s v="Subway"/>
    <s v="Paid"/>
    <s v="-"/>
    <s v="September"/>
    <n v="2025"/>
    <s v="normal"/>
  </r>
  <r>
    <n v="48"/>
    <d v="2025-08-07T00:00:00"/>
    <s v="Rent"/>
    <x v="47"/>
    <s v="UPI"/>
    <n v="3229.98"/>
    <s v="Apartment"/>
    <x v="4"/>
    <x v="1"/>
    <s v="OfficeLease"/>
    <s v="Paid"/>
    <s v="-"/>
    <s v="August"/>
    <n v="2025"/>
    <s v="high"/>
  </r>
  <r>
    <n v="49"/>
    <d v="2025-08-02T00:00:00"/>
    <s v="Utilities"/>
    <x v="48"/>
    <s v="Cash"/>
    <n v="181.23"/>
    <s v="Electricity"/>
    <x v="0"/>
    <x v="1"/>
    <s v="GasCo"/>
    <s v="Paid"/>
    <s v="-"/>
    <s v="August"/>
    <n v="2025"/>
    <s v="normal"/>
  </r>
  <r>
    <n v="50"/>
    <d v="2025-10-22T00:00:00"/>
    <s v="Utilities"/>
    <x v="49"/>
    <s v="Cash"/>
    <n v="2949.59"/>
    <s v="Water"/>
    <x v="3"/>
    <x v="0"/>
    <s v="City Water"/>
    <s v="Pending"/>
    <s v="-"/>
    <s v="October"/>
    <n v="2025"/>
    <s v="normal"/>
  </r>
  <r>
    <n v="51"/>
    <d v="2025-09-15T00:00:00"/>
    <s v="Medical"/>
    <x v="50"/>
    <s v="Card"/>
    <n v="4704.1400000000003"/>
    <s v="Doctor"/>
    <x v="4"/>
    <x v="1"/>
    <s v="CVS"/>
    <s v="Paid"/>
    <s v="-"/>
    <s v="September"/>
    <n v="2025"/>
    <s v="high"/>
  </r>
  <r>
    <n v="52"/>
    <d v="2025-12-01T00:00:00"/>
    <s v="Entertainment"/>
    <x v="51"/>
    <s v="Cash"/>
    <n v="2898.6"/>
    <s v="Concert"/>
    <x v="5"/>
    <x v="1"/>
    <s v="AMC"/>
    <s v="Paid"/>
    <s v="-"/>
    <s v="December"/>
    <n v="2025"/>
    <s v="normal"/>
  </r>
  <r>
    <n v="53"/>
    <d v="2025-10-16T00:00:00"/>
    <s v="Rent"/>
    <x v="52"/>
    <s v="Card"/>
    <n v="1971.44"/>
    <s v="Storage"/>
    <x v="1"/>
    <x v="1"/>
    <s v="ABC Realty"/>
    <s v="Paid"/>
    <s v="-"/>
    <s v="October"/>
    <n v="2025"/>
    <s v="normal"/>
  </r>
  <r>
    <n v="54"/>
    <d v="2025-10-24T00:00:00"/>
    <s v="Travel"/>
    <x v="53"/>
    <s v="Cash"/>
    <n v="3234.28"/>
    <s v="Taxi"/>
    <x v="0"/>
    <x v="1"/>
    <s v="Uber"/>
    <s v="Paid"/>
    <s v="-"/>
    <s v="October"/>
    <n v="2025"/>
    <s v="high"/>
  </r>
  <r>
    <n v="55"/>
    <d v="2025-11-12T00:00:00"/>
    <s v="Food"/>
    <x v="54"/>
    <s v="Card"/>
    <n v="2318.35"/>
    <s v="Snacks"/>
    <x v="2"/>
    <x v="0"/>
    <s v="Walmart"/>
    <s v="Paid"/>
    <s v="-"/>
    <s v="November"/>
    <n v="2025"/>
    <s v="normal"/>
  </r>
  <r>
    <n v="56"/>
    <d v="2026-01-12T00:00:00"/>
    <s v="Shopping"/>
    <x v="55"/>
    <s v="UPI"/>
    <n v="2750.8"/>
    <s v="Accessories"/>
    <x v="2"/>
    <x v="1"/>
    <s v="Target"/>
    <s v="Paid"/>
    <s v="-"/>
    <s v="January"/>
    <n v="2026"/>
    <s v="normal"/>
  </r>
  <r>
    <n v="57"/>
    <d v="2025-08-01T00:00:00"/>
    <s v="Food"/>
    <x v="56"/>
    <s v="Cash"/>
    <n v="4710.25"/>
    <s v="Restaurant"/>
    <x v="3"/>
    <x v="1"/>
    <s v="Domino's"/>
    <s v="Paid"/>
    <s v="-"/>
    <s v="August"/>
    <n v="2025"/>
    <s v="high"/>
  </r>
  <r>
    <n v="58"/>
    <d v="2026-01-15T00:00:00"/>
    <s v="Food"/>
    <x v="57"/>
    <s v="Cash"/>
    <n v="1961.21"/>
    <s v="Beverages"/>
    <x v="5"/>
    <x v="1"/>
    <s v="Walmart"/>
    <s v="Paid"/>
    <s v="-"/>
    <s v="January"/>
    <n v="2026"/>
    <s v="normal"/>
  </r>
  <r>
    <n v="59"/>
    <d v="2025-08-28T00:00:00"/>
    <s v="Travel"/>
    <x v="58"/>
    <s v="Cash"/>
    <n v="4807.8900000000003"/>
    <s v="Bus"/>
    <x v="0"/>
    <x v="0"/>
    <s v="Uber"/>
    <s v="Paid"/>
    <s v="-"/>
    <s v="August"/>
    <n v="2025"/>
    <s v="high"/>
  </r>
  <r>
    <n v="60"/>
    <d v="2025-10-13T00:00:00"/>
    <s v="Food"/>
    <x v="59"/>
    <s v="Cash"/>
    <n v="4531.49"/>
    <s v="Beverages"/>
    <x v="5"/>
    <x v="1"/>
    <s v="Starbucks"/>
    <s v="Paid"/>
    <s v="-"/>
    <s v="October"/>
    <n v="2025"/>
    <s v="high"/>
  </r>
  <r>
    <n v="61"/>
    <d v="2026-01-04T00:00:00"/>
    <s v="Rent"/>
    <x v="60"/>
    <s v="Card"/>
    <n v="1019.17"/>
    <s v="Apartment"/>
    <x v="0"/>
    <x v="1"/>
    <s v="ABC Realty"/>
    <s v="Paid"/>
    <s v="-"/>
    <s v="January"/>
    <n v="2026"/>
    <s v="normal"/>
  </r>
  <r>
    <n v="62"/>
    <d v="2025-09-12T00:00:00"/>
    <s v="Rent"/>
    <x v="61"/>
    <s v="Cash"/>
    <n v="393.34"/>
    <s v="Office"/>
    <x v="3"/>
    <x v="0"/>
    <s v="OfficeLease"/>
    <s v="Paid"/>
    <s v="-"/>
    <s v="September"/>
    <n v="2025"/>
    <s v="normal"/>
  </r>
  <r>
    <n v="63"/>
    <d v="2025-11-05T00:00:00"/>
    <s v="Utilities"/>
    <x v="62"/>
    <s v="UPI"/>
    <n v="548.85"/>
    <s v="Gas"/>
    <x v="3"/>
    <x v="1"/>
    <s v="City Water"/>
    <s v="Paid"/>
    <s v="-"/>
    <s v="November"/>
    <n v="2025"/>
    <s v="normal"/>
  </r>
  <r>
    <n v="64"/>
    <d v="2025-12-03T00:00:00"/>
    <s v="Medical"/>
    <x v="63"/>
    <s v="UPI"/>
    <n v="140.19999999999999"/>
    <s v="Health Insurance"/>
    <x v="2"/>
    <x v="0"/>
    <s v="City Hospital"/>
    <s v="Paid"/>
    <s v="-"/>
    <s v="December"/>
    <n v="2025"/>
    <s v="normal"/>
  </r>
  <r>
    <n v="65"/>
    <d v="2025-07-26T00:00:00"/>
    <s v="Entertainment"/>
    <x v="64"/>
    <s v="Cash"/>
    <n v="517.49"/>
    <s v="Games"/>
    <x v="5"/>
    <x v="0"/>
    <s v="Netflix"/>
    <s v="Pending"/>
    <s v="-"/>
    <s v="July"/>
    <n v="2025"/>
    <s v="normal"/>
  </r>
  <r>
    <n v="66"/>
    <d v="2025-12-05T00:00:00"/>
    <s v="Shopping"/>
    <x v="65"/>
    <s v="UPI"/>
    <n v="3430.88"/>
    <s v="Accessories"/>
    <x v="4"/>
    <x v="1"/>
    <s v="Target"/>
    <s v="Paid"/>
    <s v="-"/>
    <s v="December"/>
    <n v="2025"/>
    <s v="high"/>
  </r>
  <r>
    <n v="67"/>
    <d v="2025-09-16T00:00:00"/>
    <s v="Food"/>
    <x v="66"/>
    <s v="Cash"/>
    <n v="402.38"/>
    <s v="Restaurant"/>
    <x v="2"/>
    <x v="1"/>
    <s v="Subway"/>
    <s v="Paid"/>
    <s v="-"/>
    <s v="September"/>
    <n v="2025"/>
    <s v="normal"/>
  </r>
  <r>
    <n v="68"/>
    <d v="2025-11-07T00:00:00"/>
    <s v="Food"/>
    <x v="67"/>
    <s v="Cash"/>
    <n v="1628.93"/>
    <s v="Beverages"/>
    <x v="5"/>
    <x v="1"/>
    <s v="Starbucks"/>
    <s v="Paid"/>
    <s v="-"/>
    <s v="November"/>
    <n v="2025"/>
    <s v="normal"/>
  </r>
  <r>
    <n v="69"/>
    <d v="2025-07-28T00:00:00"/>
    <s v="Travel"/>
    <x v="68"/>
    <s v="UPI"/>
    <n v="4232.13"/>
    <s v="Flight"/>
    <x v="2"/>
    <x v="1"/>
    <s v="Delta Airlines"/>
    <s v="Paid"/>
    <s v="-"/>
    <s v="July"/>
    <n v="2025"/>
    <s v="high"/>
  </r>
  <r>
    <n v="70"/>
    <d v="2025-09-16T00:00:00"/>
    <s v="Medical"/>
    <x v="69"/>
    <s v="Cash"/>
    <n v="165.2"/>
    <s v="Health Insurance"/>
    <x v="4"/>
    <x v="1"/>
    <s v="HealthCare Inc"/>
    <s v="Pending"/>
    <s v="-"/>
    <s v="September"/>
    <n v="2025"/>
    <s v="normal"/>
  </r>
  <r>
    <n v="71"/>
    <d v="2025-12-17T00:00:00"/>
    <s v="Rent"/>
    <x v="70"/>
    <s v="UPI"/>
    <n v="4081.62"/>
    <s v="Apartment"/>
    <x v="1"/>
    <x v="1"/>
    <s v="HomeStay"/>
    <s v="Paid"/>
    <s v="-"/>
    <s v="December"/>
    <n v="2025"/>
    <s v="high"/>
  </r>
  <r>
    <n v="72"/>
    <d v="2025-09-06T00:00:00"/>
    <s v="Shopping"/>
    <x v="71"/>
    <s v="Card"/>
    <n v="1445.18"/>
    <s v="Clothes"/>
    <x v="1"/>
    <x v="1"/>
    <s v="Best Buy"/>
    <s v="Paid"/>
    <s v="-"/>
    <s v="September"/>
    <n v="2025"/>
    <s v="normal"/>
  </r>
  <r>
    <n v="73"/>
    <d v="2026-01-02T00:00:00"/>
    <s v="Utilities"/>
    <x v="72"/>
    <s v="Cash"/>
    <n v="634.91999999999996"/>
    <s v="Gas"/>
    <x v="1"/>
    <x v="1"/>
    <s v="Verizon"/>
    <s v="Paid"/>
    <s v="-"/>
    <s v="January"/>
    <n v="2026"/>
    <s v="normal"/>
  </r>
  <r>
    <n v="74"/>
    <d v="2025-08-07T00:00:00"/>
    <s v="Rent"/>
    <x v="73"/>
    <s v="Card"/>
    <n v="3498.85"/>
    <s v="Storage"/>
    <x v="1"/>
    <x v="1"/>
    <s v="OfficeLease"/>
    <s v="Paid"/>
    <s v="-"/>
    <s v="August"/>
    <n v="2025"/>
    <s v="high"/>
  </r>
  <r>
    <n v="75"/>
    <d v="2025-10-27T00:00:00"/>
    <s v="Medical"/>
    <x v="74"/>
    <s v="UPI"/>
    <n v="3163.27"/>
    <s v="Doctor"/>
    <x v="0"/>
    <x v="1"/>
    <s v="CVS"/>
    <s v="Paid"/>
    <s v="-"/>
    <s v="October"/>
    <n v="2025"/>
    <s v="high"/>
  </r>
  <r>
    <n v="76"/>
    <d v="2025-09-10T00:00:00"/>
    <s v="Entertainment"/>
    <x v="75"/>
    <s v="Card"/>
    <n v="4393.49"/>
    <s v="Concert"/>
    <x v="1"/>
    <x v="1"/>
    <s v="PlayStation Store"/>
    <s v="Paid"/>
    <s v="-"/>
    <s v="September"/>
    <n v="2025"/>
    <s v="high"/>
  </r>
  <r>
    <n v="77"/>
    <d v="2025-08-08T00:00:00"/>
    <s v="Utilities"/>
    <x v="76"/>
    <s v="Card"/>
    <n v="3688.6"/>
    <s v="Electricity"/>
    <x v="4"/>
    <x v="1"/>
    <s v="City Water"/>
    <s v="Paid"/>
    <s v="-"/>
    <s v="August"/>
    <n v="2025"/>
    <s v="high"/>
  </r>
  <r>
    <n v="78"/>
    <d v="2025-09-02T00:00:00"/>
    <s v="Entertainment"/>
    <x v="77"/>
    <s v="UPI"/>
    <n v="4027.23"/>
    <s v="Movies"/>
    <x v="3"/>
    <x v="1"/>
    <s v="AMC"/>
    <s v="Paid"/>
    <s v="-"/>
    <s v="September"/>
    <n v="2025"/>
    <s v="high"/>
  </r>
  <r>
    <n v="79"/>
    <d v="2025-10-14T00:00:00"/>
    <s v="Travel"/>
    <x v="78"/>
    <s v="Card"/>
    <n v="1446.07"/>
    <s v="Taxi"/>
    <x v="3"/>
    <x v="0"/>
    <s v="Shell Fuel"/>
    <s v="Paid"/>
    <s v="-"/>
    <s v="October"/>
    <n v="2025"/>
    <s v="normal"/>
  </r>
  <r>
    <n v="80"/>
    <d v="2025-11-12T00:00:00"/>
    <s v="Travel"/>
    <x v="79"/>
    <s v="Card"/>
    <n v="928.33"/>
    <s v="Fuel"/>
    <x v="0"/>
    <x v="1"/>
    <s v="Greyhound"/>
    <s v="Pending"/>
    <s v="-"/>
    <s v="November"/>
    <n v="2025"/>
    <s v="normal"/>
  </r>
  <r>
    <n v="81"/>
    <d v="2025-09-15T00:00:00"/>
    <s v="Food"/>
    <x v="80"/>
    <s v="UPI"/>
    <n v="3765.54"/>
    <s v="Beverages"/>
    <x v="1"/>
    <x v="1"/>
    <s v="Subway"/>
    <s v="Paid"/>
    <s v="-"/>
    <s v="September"/>
    <n v="2025"/>
    <s v="high"/>
  </r>
  <r>
    <n v="82"/>
    <d v="2025-08-17T00:00:00"/>
    <s v="Entertainment"/>
    <x v="81"/>
    <s v="Card"/>
    <n v="4043.83"/>
    <s v="Movies"/>
    <x v="1"/>
    <x v="0"/>
    <s v="Spotify"/>
    <s v="Paid"/>
    <s v="-"/>
    <s v="August"/>
    <n v="2025"/>
    <s v="high"/>
  </r>
  <r>
    <n v="83"/>
    <d v="2025-12-25T00:00:00"/>
    <s v="Medical"/>
    <x v="82"/>
    <s v="UPI"/>
    <n v="4953"/>
    <s v="Health Insurance"/>
    <x v="1"/>
    <x v="0"/>
    <s v="City Hospital"/>
    <s v="Paid"/>
    <s v="-"/>
    <s v="December"/>
    <n v="2025"/>
    <s v="high"/>
  </r>
  <r>
    <n v="84"/>
    <d v="2025-11-25T00:00:00"/>
    <s v="Shopping"/>
    <x v="83"/>
    <s v="Card"/>
    <n v="2092.46"/>
    <s v="Accessories"/>
    <x v="2"/>
    <x v="1"/>
    <s v="Amazon"/>
    <s v="Paid"/>
    <s v="-"/>
    <s v="November"/>
    <n v="2025"/>
    <s v="normal"/>
  </r>
  <r>
    <n v="85"/>
    <d v="2025-09-03T00:00:00"/>
    <s v="Utilities"/>
    <x v="84"/>
    <s v="UPI"/>
    <n v="1891.49"/>
    <s v="Electricity"/>
    <x v="5"/>
    <x v="1"/>
    <s v="City Water"/>
    <s v="Paid"/>
    <s v="-"/>
    <s v="September"/>
    <n v="2025"/>
    <s v="normal"/>
  </r>
  <r>
    <n v="86"/>
    <d v="2025-12-28T00:00:00"/>
    <s v="Rent"/>
    <x v="85"/>
    <s v="UPI"/>
    <n v="3893.24"/>
    <s v="Apartment"/>
    <x v="2"/>
    <x v="1"/>
    <s v="HomeStay"/>
    <s v="Pending"/>
    <s v="-"/>
    <s v="December"/>
    <n v="2025"/>
    <s v="high"/>
  </r>
  <r>
    <n v="87"/>
    <d v="2025-08-08T00:00:00"/>
    <s v="Medical"/>
    <x v="86"/>
    <s v="Card"/>
    <n v="1736.98"/>
    <s v="Doctor"/>
    <x v="5"/>
    <x v="0"/>
    <s v="CVS"/>
    <s v="Paid"/>
    <s v="-"/>
    <s v="August"/>
    <n v="2025"/>
    <s v="normal"/>
  </r>
  <r>
    <n v="88"/>
    <d v="2025-09-07T00:00:00"/>
    <s v="Medical"/>
    <x v="87"/>
    <s v="Card"/>
    <n v="4657.25"/>
    <s v="Hospital"/>
    <x v="1"/>
    <x v="1"/>
    <s v="City Hospital"/>
    <s v="Paid"/>
    <s v="-"/>
    <s v="September"/>
    <n v="2025"/>
    <s v="high"/>
  </r>
  <r>
    <n v="89"/>
    <d v="2025-09-27T00:00:00"/>
    <s v="Travel"/>
    <x v="88"/>
    <s v="Card"/>
    <n v="4299.1400000000003"/>
    <s v="Fuel"/>
    <x v="1"/>
    <x v="1"/>
    <s v="Uber"/>
    <s v="Paid"/>
    <s v="-"/>
    <s v="September"/>
    <n v="2025"/>
    <s v="high"/>
  </r>
  <r>
    <n v="90"/>
    <d v="2025-10-21T00:00:00"/>
    <s v="Entertainment"/>
    <x v="89"/>
    <s v="Cash"/>
    <n v="2173.52"/>
    <s v="Games"/>
    <x v="2"/>
    <x v="0"/>
    <s v="Netflix"/>
    <s v="Paid"/>
    <s v="-"/>
    <s v="October"/>
    <n v="2025"/>
    <s v="normal"/>
  </r>
  <r>
    <n v="91"/>
    <d v="2025-10-03T00:00:00"/>
    <s v="Food"/>
    <x v="90"/>
    <s v="Cash"/>
    <n v="3766.81"/>
    <s v="Restaurant"/>
    <x v="2"/>
    <x v="0"/>
    <s v="Walmart"/>
    <s v="Paid"/>
    <s v="-"/>
    <s v="October"/>
    <n v="2025"/>
    <s v="high"/>
  </r>
  <r>
    <n v="92"/>
    <d v="2025-08-02T00:00:00"/>
    <s v="Food"/>
    <x v="91"/>
    <s v="Cash"/>
    <n v="3784.99"/>
    <s v="Snacks"/>
    <x v="5"/>
    <x v="1"/>
    <s v="Subway"/>
    <s v="Paid"/>
    <s v="-"/>
    <s v="August"/>
    <n v="2025"/>
    <s v="high"/>
  </r>
  <r>
    <n v="93"/>
    <d v="2025-10-20T00:00:00"/>
    <s v="Utilities"/>
    <x v="92"/>
    <s v="UPI"/>
    <n v="560.46"/>
    <s v="Gas"/>
    <x v="3"/>
    <x v="1"/>
    <s v="City Water"/>
    <s v="Paid"/>
    <s v="-"/>
    <s v="October"/>
    <n v="2025"/>
    <s v="normal"/>
  </r>
  <r>
    <n v="94"/>
    <d v="2025-11-30T00:00:00"/>
    <s v="Travel"/>
    <x v="93"/>
    <s v="Card"/>
    <n v="4517.6400000000003"/>
    <s v="Fuel"/>
    <x v="5"/>
    <x v="1"/>
    <s v="Delta Airlines"/>
    <s v="Paid"/>
    <s v="-"/>
    <s v="November"/>
    <n v="2025"/>
    <s v="high"/>
  </r>
  <r>
    <n v="95"/>
    <d v="2025-12-07T00:00:00"/>
    <s v="Medical"/>
    <x v="94"/>
    <s v="UPI"/>
    <n v="2551"/>
    <s v="Hospital"/>
    <x v="2"/>
    <x v="1"/>
    <s v="Walgreens"/>
    <s v="Paid"/>
    <s v="-"/>
    <s v="December"/>
    <n v="2025"/>
    <s v="normal"/>
  </r>
  <r>
    <n v="96"/>
    <d v="2025-09-25T00:00:00"/>
    <s v="Shopping"/>
    <x v="95"/>
    <s v="Cash"/>
    <n v="4140.96"/>
    <s v="Clothes"/>
    <x v="4"/>
    <x v="1"/>
    <s v="Macy's"/>
    <s v="Paid"/>
    <s v="-"/>
    <s v="September"/>
    <n v="2025"/>
    <s v="high"/>
  </r>
  <r>
    <n v="97"/>
    <d v="2025-12-10T00:00:00"/>
    <s v="Travel"/>
    <x v="96"/>
    <s v="Card"/>
    <n v="1634.25"/>
    <s v="Flight"/>
    <x v="2"/>
    <x v="1"/>
    <s v="Delta Airlines"/>
    <s v="Paid"/>
    <s v="-"/>
    <s v="December"/>
    <n v="2025"/>
    <s v="normal"/>
  </r>
  <r>
    <n v="98"/>
    <d v="2025-10-13T00:00:00"/>
    <s v="Utilities"/>
    <x v="97"/>
    <s v="UPI"/>
    <n v="4482.84"/>
    <s v="Water"/>
    <x v="4"/>
    <x v="1"/>
    <s v="ComEd"/>
    <s v="Paid"/>
    <s v="-"/>
    <s v="October"/>
    <n v="2025"/>
    <s v="high"/>
  </r>
  <r>
    <n v="99"/>
    <d v="2025-12-07T00:00:00"/>
    <s v="Utilities"/>
    <x v="98"/>
    <s v="Card"/>
    <n v="1976.55"/>
    <s v="Gas"/>
    <x v="0"/>
    <x v="1"/>
    <s v="ComEd"/>
    <s v="Paid"/>
    <s v="-"/>
    <s v="December"/>
    <n v="2025"/>
    <s v="normal"/>
  </r>
  <r>
    <n v="100"/>
    <d v="2026-01-03T00:00:00"/>
    <s v="Travel"/>
    <x v="99"/>
    <s v="UPI"/>
    <n v="103.65"/>
    <s v="Flight"/>
    <x v="2"/>
    <x v="1"/>
    <s v="Greyhound"/>
    <s v="Paid"/>
    <s v="-"/>
    <s v="January"/>
    <n v="2026"/>
    <s v="normal"/>
  </r>
  <r>
    <n v="101"/>
    <d v="2026-01-03T00:00:00"/>
    <s v="Utilities"/>
    <x v="100"/>
    <s v="Card"/>
    <n v="4531.6400000000003"/>
    <s v="Internet"/>
    <x v="0"/>
    <x v="1"/>
    <s v="ComEd"/>
    <s v="Paid"/>
    <s v="-"/>
    <s v="January"/>
    <n v="2026"/>
    <s v="high"/>
  </r>
  <r>
    <n v="102"/>
    <d v="2025-08-26T00:00:00"/>
    <s v="Travel"/>
    <x v="101"/>
    <s v="Cash"/>
    <n v="501.87"/>
    <s v="Fuel"/>
    <x v="3"/>
    <x v="1"/>
    <s v="Shell Fuel"/>
    <s v="Paid"/>
    <s v="-"/>
    <s v="August"/>
    <n v="2025"/>
    <s v="normal"/>
  </r>
  <r>
    <n v="103"/>
    <d v="2025-11-24T00:00:00"/>
    <s v="Rent"/>
    <x v="102"/>
    <s v="Cash"/>
    <n v="1630.6"/>
    <s v="Apartment"/>
    <x v="5"/>
    <x v="1"/>
    <s v="ABC Realty"/>
    <s v="Paid"/>
    <s v="-"/>
    <s v="November"/>
    <n v="2025"/>
    <s v="normal"/>
  </r>
  <r>
    <n v="104"/>
    <d v="2025-07-29T00:00:00"/>
    <s v="Travel"/>
    <x v="103"/>
    <s v="Card"/>
    <n v="4752.8100000000004"/>
    <s v="Taxi"/>
    <x v="4"/>
    <x v="1"/>
    <s v="Uber"/>
    <s v="Pending"/>
    <s v="-"/>
    <s v="July"/>
    <n v="2025"/>
    <s v="high"/>
  </r>
  <r>
    <n v="105"/>
    <d v="2025-09-03T00:00:00"/>
    <s v="Entertainment"/>
    <x v="104"/>
    <s v="UPI"/>
    <n v="4755.51"/>
    <s v="Games"/>
    <x v="5"/>
    <x v="1"/>
    <s v="PlayStation Store"/>
    <s v="Paid"/>
    <s v="-"/>
    <s v="September"/>
    <n v="2025"/>
    <s v="high"/>
  </r>
  <r>
    <n v="106"/>
    <d v="2025-08-21T00:00:00"/>
    <s v="Travel"/>
    <x v="105"/>
    <s v="Cash"/>
    <n v="2888.52"/>
    <s v="Taxi"/>
    <x v="0"/>
    <x v="1"/>
    <s v="Delta Airlines"/>
    <s v="Paid"/>
    <s v="-"/>
    <s v="August"/>
    <n v="2025"/>
    <s v="normal"/>
  </r>
  <r>
    <n v="107"/>
    <d v="2025-12-06T00:00:00"/>
    <s v="Utilities"/>
    <x v="106"/>
    <s v="Cash"/>
    <n v="3177.59"/>
    <s v="Water"/>
    <x v="4"/>
    <x v="1"/>
    <s v="Verizon"/>
    <s v="Paid"/>
    <s v="-"/>
    <s v="December"/>
    <n v="2025"/>
    <s v="high"/>
  </r>
  <r>
    <n v="108"/>
    <d v="2025-10-04T00:00:00"/>
    <s v="Entertainment"/>
    <x v="107"/>
    <s v="Cash"/>
    <n v="2269.81"/>
    <s v="Subscription"/>
    <x v="5"/>
    <x v="1"/>
    <s v="PlayStation Store"/>
    <s v="Paid"/>
    <s v="-"/>
    <s v="October"/>
    <n v="2025"/>
    <s v="normal"/>
  </r>
  <r>
    <n v="109"/>
    <d v="2025-08-05T00:00:00"/>
    <s v="Utilities"/>
    <x v="108"/>
    <s v="Card"/>
    <n v="1501.39"/>
    <s v="Internet"/>
    <x v="2"/>
    <x v="1"/>
    <s v="City Water"/>
    <s v="Paid"/>
    <s v="-"/>
    <s v="August"/>
    <n v="2025"/>
    <s v="normal"/>
  </r>
  <r>
    <n v="110"/>
    <d v="2026-01-02T00:00:00"/>
    <s v="Food"/>
    <x v="109"/>
    <s v="Card"/>
    <n v="1676.89"/>
    <s v="Groceries"/>
    <x v="1"/>
    <x v="1"/>
    <s v="Walmart"/>
    <s v="Paid"/>
    <s v="-"/>
    <s v="January"/>
    <n v="2026"/>
    <s v="normal"/>
  </r>
  <r>
    <n v="111"/>
    <d v="2025-08-26T00:00:00"/>
    <s v="Food"/>
    <x v="110"/>
    <s v="UPI"/>
    <n v="3378.97"/>
    <s v="Snacks"/>
    <x v="0"/>
    <x v="0"/>
    <s v="Domino's"/>
    <s v="Paid"/>
    <s v="-"/>
    <s v="August"/>
    <n v="2025"/>
    <s v="high"/>
  </r>
  <r>
    <n v="112"/>
    <d v="2025-09-10T00:00:00"/>
    <s v="Entertainment"/>
    <x v="111"/>
    <s v="UPI"/>
    <n v="3774.25"/>
    <s v="Movies"/>
    <x v="5"/>
    <x v="1"/>
    <s v="Netflix"/>
    <s v="Paid"/>
    <s v="-"/>
    <s v="September"/>
    <n v="2025"/>
    <s v="high"/>
  </r>
  <r>
    <n v="113"/>
    <d v="2025-12-22T00:00:00"/>
    <s v="Rent"/>
    <x v="112"/>
    <s v="UPI"/>
    <n v="3968.32"/>
    <s v="Office"/>
    <x v="0"/>
    <x v="1"/>
    <s v="OfficeLease"/>
    <s v="Paid"/>
    <s v="-"/>
    <s v="December"/>
    <n v="2025"/>
    <s v="high"/>
  </r>
  <r>
    <n v="114"/>
    <d v="2025-09-24T00:00:00"/>
    <s v="Food"/>
    <x v="113"/>
    <s v="Card"/>
    <n v="3958.61"/>
    <s v="Snacks"/>
    <x v="0"/>
    <x v="1"/>
    <s v="Walmart"/>
    <s v="Paid"/>
    <s v="-"/>
    <s v="September"/>
    <n v="2025"/>
    <s v="high"/>
  </r>
  <r>
    <n v="115"/>
    <d v="2025-08-30T00:00:00"/>
    <s v="Travel"/>
    <x v="114"/>
    <s v="Card"/>
    <n v="501.47"/>
    <s v="Taxi"/>
    <x v="4"/>
    <x v="0"/>
    <s v="Shell Fuel"/>
    <s v="Paid"/>
    <s v="-"/>
    <s v="August"/>
    <n v="2025"/>
    <s v="normal"/>
  </r>
  <r>
    <n v="116"/>
    <d v="2025-10-31T00:00:00"/>
    <s v="Utilities"/>
    <x v="115"/>
    <s v="UPI"/>
    <n v="2497.38"/>
    <s v="Water"/>
    <x v="4"/>
    <x v="1"/>
    <s v="ComEd"/>
    <s v="Paid"/>
    <s v="-"/>
    <s v="October"/>
    <n v="2025"/>
    <s v="normal"/>
  </r>
  <r>
    <n v="117"/>
    <d v="2026-01-12T00:00:00"/>
    <s v="Food"/>
    <x v="116"/>
    <s v="UPI"/>
    <n v="334.92"/>
    <s v="Snacks"/>
    <x v="1"/>
    <x v="1"/>
    <s v="Starbucks"/>
    <s v="Paid"/>
    <s v="-"/>
    <s v="January"/>
    <n v="2026"/>
    <s v="normal"/>
  </r>
  <r>
    <n v="118"/>
    <d v="2025-11-05T00:00:00"/>
    <s v="Food"/>
    <x v="117"/>
    <s v="Card"/>
    <n v="2770.17"/>
    <s v="Snacks"/>
    <x v="2"/>
    <x v="1"/>
    <s v="Subway"/>
    <s v="Paid"/>
    <s v="-"/>
    <s v="November"/>
    <n v="2025"/>
    <s v="normal"/>
  </r>
  <r>
    <n v="119"/>
    <d v="2025-08-28T00:00:00"/>
    <s v="Rent"/>
    <x v="118"/>
    <s v="UPI"/>
    <n v="2235.58"/>
    <s v="Apartment"/>
    <x v="0"/>
    <x v="1"/>
    <s v="OfficeLease"/>
    <s v="Paid"/>
    <s v="-"/>
    <s v="August"/>
    <n v="2025"/>
    <s v="normal"/>
  </r>
  <r>
    <n v="120"/>
    <d v="2025-11-02T00:00:00"/>
    <s v="Entertainment"/>
    <x v="119"/>
    <s v="Cash"/>
    <n v="4444.1400000000003"/>
    <s v="Movies"/>
    <x v="5"/>
    <x v="1"/>
    <s v="AMC"/>
    <s v="Paid"/>
    <s v="-"/>
    <s v="November"/>
    <n v="2025"/>
    <s v="high"/>
  </r>
  <r>
    <n v="121"/>
    <d v="2026-01-15T00:00:00"/>
    <s v="Entertainment"/>
    <x v="120"/>
    <s v="Card"/>
    <n v="1787.03"/>
    <s v="Movies"/>
    <x v="3"/>
    <x v="0"/>
    <s v="PlayStation Store"/>
    <s v="Paid"/>
    <s v="-"/>
    <s v="January"/>
    <n v="2026"/>
    <s v="normal"/>
  </r>
  <r>
    <n v="122"/>
    <d v="2025-12-02T00:00:00"/>
    <s v="Medical"/>
    <x v="121"/>
    <s v="UPI"/>
    <n v="629.48"/>
    <s v="Doctor"/>
    <x v="0"/>
    <x v="1"/>
    <s v="HealthCare Inc"/>
    <s v="Paid"/>
    <s v="-"/>
    <s v="December"/>
    <n v="2025"/>
    <s v="normal"/>
  </r>
  <r>
    <n v="123"/>
    <d v="2025-07-25T00:00:00"/>
    <s v="Rent"/>
    <x v="122"/>
    <s v="Card"/>
    <n v="757.81"/>
    <s v="Apartment"/>
    <x v="0"/>
    <x v="1"/>
    <s v="HomeStay"/>
    <s v="Paid"/>
    <s v="-"/>
    <s v="July"/>
    <n v="2025"/>
    <s v="normal"/>
  </r>
  <r>
    <n v="124"/>
    <d v="2025-07-29T00:00:00"/>
    <s v="Travel"/>
    <x v="123"/>
    <s v="Cash"/>
    <n v="3819.48"/>
    <s v="Train"/>
    <x v="1"/>
    <x v="1"/>
    <s v="Shell Fuel"/>
    <s v="Paid"/>
    <s v="-"/>
    <s v="July"/>
    <n v="2025"/>
    <s v="high"/>
  </r>
  <r>
    <n v="125"/>
    <d v="2025-12-13T00:00:00"/>
    <s v="Entertainment"/>
    <x v="124"/>
    <s v="Card"/>
    <n v="3110.18"/>
    <s v="Concert"/>
    <x v="2"/>
    <x v="0"/>
    <s v="Spotify"/>
    <s v="Paid"/>
    <s v="-"/>
    <s v="December"/>
    <n v="2025"/>
    <s v="high"/>
  </r>
  <r>
    <n v="126"/>
    <d v="2025-11-04T00:00:00"/>
    <s v="Utilities"/>
    <x v="125"/>
    <s v="Card"/>
    <n v="550.55999999999995"/>
    <s v="Electricity"/>
    <x v="3"/>
    <x v="1"/>
    <s v="ComEd"/>
    <s v="Paid"/>
    <s v="-"/>
    <s v="November"/>
    <n v="2025"/>
    <s v="normal"/>
  </r>
  <r>
    <n v="127"/>
    <d v="2025-08-20T00:00:00"/>
    <s v="Rent"/>
    <x v="126"/>
    <s v="Card"/>
    <n v="466.33"/>
    <s v="Apartment"/>
    <x v="4"/>
    <x v="1"/>
    <s v="ABC Realty"/>
    <s v="Paid"/>
    <s v="-"/>
    <s v="August"/>
    <n v="2025"/>
    <s v="normal"/>
  </r>
  <r>
    <n v="128"/>
    <d v="2025-12-08T00:00:00"/>
    <s v="Food"/>
    <x v="127"/>
    <s v="Card"/>
    <n v="3519.8"/>
    <s v="Beverages"/>
    <x v="4"/>
    <x v="1"/>
    <s v="Walmart"/>
    <s v="Paid"/>
    <s v="-"/>
    <s v="December"/>
    <n v="2025"/>
    <s v="high"/>
  </r>
  <r>
    <n v="129"/>
    <d v="2025-08-08T00:00:00"/>
    <s v="Utilities"/>
    <x v="128"/>
    <s v="Cash"/>
    <n v="410.18"/>
    <s v="Internet"/>
    <x v="5"/>
    <x v="1"/>
    <s v="ComEd"/>
    <s v="Pending"/>
    <s v="-"/>
    <s v="August"/>
    <n v="2025"/>
    <s v="normal"/>
  </r>
  <r>
    <n v="130"/>
    <d v="2025-10-22T00:00:00"/>
    <s v="Utilities"/>
    <x v="129"/>
    <s v="Card"/>
    <n v="4118.21"/>
    <s v="Water"/>
    <x v="3"/>
    <x v="1"/>
    <s v="Verizon"/>
    <s v="Paid"/>
    <s v="-"/>
    <s v="October"/>
    <n v="2025"/>
    <s v="high"/>
  </r>
  <r>
    <n v="131"/>
    <d v="2025-09-04T00:00:00"/>
    <s v="Food"/>
    <x v="130"/>
    <s v="Card"/>
    <n v="3545.9"/>
    <s v="Beverages"/>
    <x v="4"/>
    <x v="0"/>
    <s v="Domino's"/>
    <s v="Pending"/>
    <s v="-"/>
    <s v="September"/>
    <n v="2025"/>
    <s v="high"/>
  </r>
  <r>
    <n v="132"/>
    <d v="2025-11-25T00:00:00"/>
    <s v="Rent"/>
    <x v="131"/>
    <s v="UPI"/>
    <n v="452.68"/>
    <s v="Apartment"/>
    <x v="5"/>
    <x v="1"/>
    <s v="OfficeLease"/>
    <s v="Paid"/>
    <s v="-"/>
    <s v="November"/>
    <n v="2025"/>
    <s v="normal"/>
  </r>
  <r>
    <n v="133"/>
    <d v="2026-01-19T00:00:00"/>
    <s v="Food"/>
    <x v="132"/>
    <s v="Card"/>
    <n v="469.95"/>
    <s v="Groceries"/>
    <x v="2"/>
    <x v="0"/>
    <s v="Starbucks"/>
    <s v="Paid"/>
    <s v="-"/>
    <s v="January"/>
    <n v="2026"/>
    <s v="normal"/>
  </r>
  <r>
    <n v="134"/>
    <d v="2025-09-25T00:00:00"/>
    <s v="Medical"/>
    <x v="133"/>
    <s v="UPI"/>
    <n v="4933.87"/>
    <s v="Hospital"/>
    <x v="5"/>
    <x v="1"/>
    <s v="CVS"/>
    <s v="Paid"/>
    <s v="-"/>
    <s v="September"/>
    <n v="2025"/>
    <s v="high"/>
  </r>
  <r>
    <n v="135"/>
    <d v="2025-10-28T00:00:00"/>
    <s v="Utilities"/>
    <x v="134"/>
    <s v="Cash"/>
    <n v="1902.64"/>
    <s v="Electricity"/>
    <x v="4"/>
    <x v="1"/>
    <s v="Verizon"/>
    <s v="Paid"/>
    <s v="-"/>
    <s v="October"/>
    <n v="2025"/>
    <s v="normal"/>
  </r>
  <r>
    <n v="136"/>
    <d v="2025-09-14T00:00:00"/>
    <s v="Shopping"/>
    <x v="135"/>
    <s v="Cash"/>
    <n v="1884.68"/>
    <s v="Electronics"/>
    <x v="1"/>
    <x v="0"/>
    <s v="Best Buy"/>
    <s v="Paid"/>
    <s v="-"/>
    <s v="September"/>
    <n v="2025"/>
    <s v="normal"/>
  </r>
  <r>
    <n v="137"/>
    <d v="2025-10-28T00:00:00"/>
    <s v="Shopping"/>
    <x v="136"/>
    <s v="Cash"/>
    <n v="4073.36"/>
    <s v="Home Decor"/>
    <x v="1"/>
    <x v="1"/>
    <s v="Best Buy"/>
    <s v="Paid"/>
    <s v="-"/>
    <s v="October"/>
    <n v="2025"/>
    <s v="high"/>
  </r>
  <r>
    <n v="138"/>
    <d v="2025-12-03T00:00:00"/>
    <s v="Travel"/>
    <x v="137"/>
    <s v="Cash"/>
    <n v="4738.88"/>
    <s v="Fuel"/>
    <x v="1"/>
    <x v="1"/>
    <s v="Delta Airlines"/>
    <s v="Paid"/>
    <s v="-"/>
    <s v="December"/>
    <n v="2025"/>
    <s v="high"/>
  </r>
  <r>
    <n v="139"/>
    <d v="2025-12-22T00:00:00"/>
    <s v="Entertainment"/>
    <x v="138"/>
    <s v="UPI"/>
    <n v="4930.71"/>
    <s v="Concert"/>
    <x v="4"/>
    <x v="1"/>
    <s v="Spotify"/>
    <s v="Paid"/>
    <s v="-"/>
    <s v="December"/>
    <n v="2025"/>
    <s v="high"/>
  </r>
  <r>
    <n v="140"/>
    <d v="2025-12-14T00:00:00"/>
    <s v="Food"/>
    <x v="139"/>
    <s v="Card"/>
    <n v="3779.22"/>
    <s v="Groceries"/>
    <x v="1"/>
    <x v="1"/>
    <s v="Starbucks"/>
    <s v="Paid"/>
    <s v="-"/>
    <s v="December"/>
    <n v="2025"/>
    <s v="high"/>
  </r>
  <r>
    <n v="141"/>
    <d v="2026-01-11T00:00:00"/>
    <s v="Food"/>
    <x v="140"/>
    <s v="Cash"/>
    <n v="1912.48"/>
    <s v="Groceries"/>
    <x v="3"/>
    <x v="1"/>
    <s v="Domino's"/>
    <s v="Paid"/>
    <s v="-"/>
    <s v="January"/>
    <n v="2026"/>
    <s v="normal"/>
  </r>
  <r>
    <n v="142"/>
    <d v="2025-08-22T00:00:00"/>
    <s v="Travel"/>
    <x v="141"/>
    <s v="Card"/>
    <n v="463.33"/>
    <s v="Fuel"/>
    <x v="2"/>
    <x v="1"/>
    <s v="Uber"/>
    <s v="Paid"/>
    <s v="-"/>
    <s v="August"/>
    <n v="2025"/>
    <s v="normal"/>
  </r>
  <r>
    <n v="143"/>
    <d v="2025-08-29T00:00:00"/>
    <s v="Travel"/>
    <x v="142"/>
    <s v="UPI"/>
    <n v="3896.88"/>
    <s v="Flight"/>
    <x v="5"/>
    <x v="1"/>
    <s v="Delta Airlines"/>
    <s v="Paid"/>
    <s v="-"/>
    <s v="August"/>
    <n v="2025"/>
    <s v="high"/>
  </r>
  <r>
    <n v="144"/>
    <d v="2025-08-06T00:00:00"/>
    <s v="Travel"/>
    <x v="143"/>
    <s v="UPI"/>
    <n v="2814.1"/>
    <s v="Flight"/>
    <x v="5"/>
    <x v="1"/>
    <s v="Delta Airlines"/>
    <s v="Pending"/>
    <s v="-"/>
    <s v="August"/>
    <n v="2025"/>
    <s v="normal"/>
  </r>
  <r>
    <n v="145"/>
    <d v="2025-12-31T00:00:00"/>
    <s v="Utilities"/>
    <x v="144"/>
    <s v="UPI"/>
    <n v="2149.9"/>
    <s v="Internet"/>
    <x v="4"/>
    <x v="0"/>
    <s v="Verizon"/>
    <s v="Pending"/>
    <s v="-"/>
    <s v="December"/>
    <n v="2025"/>
    <s v="normal"/>
  </r>
  <r>
    <n v="146"/>
    <d v="2025-10-03T00:00:00"/>
    <s v="Medical"/>
    <x v="145"/>
    <s v="Cash"/>
    <n v="4536.45"/>
    <s v="Pharmacy"/>
    <x v="1"/>
    <x v="1"/>
    <s v="HealthCare Inc"/>
    <s v="Paid"/>
    <s v="-"/>
    <s v="October"/>
    <n v="2025"/>
    <s v="high"/>
  </r>
  <r>
    <n v="147"/>
    <d v="2025-10-18T00:00:00"/>
    <s v="Food"/>
    <x v="146"/>
    <s v="Card"/>
    <n v="600.42999999999995"/>
    <s v="Groceries"/>
    <x v="1"/>
    <x v="1"/>
    <s v="Subway"/>
    <s v="Paid"/>
    <s v="-"/>
    <s v="October"/>
    <n v="2025"/>
    <s v="normal"/>
  </r>
  <r>
    <n v="148"/>
    <d v="2025-08-21T00:00:00"/>
    <s v="Utilities"/>
    <x v="147"/>
    <s v="Card"/>
    <n v="2488.4899999999998"/>
    <s v="Water"/>
    <x v="0"/>
    <x v="1"/>
    <s v="GasCo"/>
    <s v="Pending"/>
    <s v="-"/>
    <s v="August"/>
    <n v="2025"/>
    <s v="normal"/>
  </r>
  <r>
    <n v="149"/>
    <d v="2025-09-28T00:00:00"/>
    <s v="Travel"/>
    <x v="148"/>
    <s v="Card"/>
    <n v="106.2"/>
    <s v="Taxi"/>
    <x v="2"/>
    <x v="1"/>
    <s v="Uber"/>
    <s v="Paid"/>
    <s v="-"/>
    <s v="September"/>
    <n v="2025"/>
    <s v="normal"/>
  </r>
  <r>
    <n v="150"/>
    <d v="2026-01-10T00:00:00"/>
    <s v="Food"/>
    <x v="149"/>
    <s v="UPI"/>
    <n v="2369.87"/>
    <s v="Restaurant"/>
    <x v="3"/>
    <x v="1"/>
    <s v="Domino's"/>
    <s v="Paid"/>
    <s v="-"/>
    <s v="January"/>
    <n v="2026"/>
    <s v="normal"/>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n v="1"/>
    <x v="0"/>
    <s v="Shopping"/>
    <s v="Sample expense 1"/>
    <s v="Card"/>
    <n v="3986.17"/>
    <s v="Electronics"/>
    <s v="New York"/>
    <x v="0"/>
    <s v="Macy's"/>
    <s v="Paid"/>
    <s v="-"/>
    <x v="0"/>
    <n v="2025"/>
    <s v="high"/>
  </r>
  <r>
    <n v="2"/>
    <x v="1"/>
    <s v="Medical"/>
    <s v="Sample expense 2"/>
    <s v="Card"/>
    <n v="1390.62"/>
    <s v="Health Insurance"/>
    <s v="Chicago"/>
    <x v="1"/>
    <s v="Walgreens"/>
    <s v="Pending"/>
    <s v="-"/>
    <x v="1"/>
    <n v="2026"/>
    <s v="normal"/>
  </r>
  <r>
    <n v="3"/>
    <x v="2"/>
    <s v="Food"/>
    <s v="Sample expense 3"/>
    <s v="UPI"/>
    <n v="2222.91"/>
    <s v="Beverages"/>
    <s v="Phoenix"/>
    <x v="1"/>
    <s v="Walmart"/>
    <s v="Paid"/>
    <s v="-"/>
    <x v="2"/>
    <n v="2025"/>
    <s v="normal"/>
  </r>
  <r>
    <n v="4"/>
    <x v="3"/>
    <s v="Shopping"/>
    <s v="Sample expense 4"/>
    <s v="Card"/>
    <n v="438.36"/>
    <s v="Accessories"/>
    <s v="Phoenix"/>
    <x v="1"/>
    <s v="Macy's"/>
    <s v="Paid"/>
    <s v="-"/>
    <x v="3"/>
    <n v="2025"/>
    <s v="normal"/>
  </r>
  <r>
    <n v="5"/>
    <x v="4"/>
    <s v="Medical"/>
    <s v="Sample expense 5"/>
    <s v="Cash"/>
    <n v="175.49"/>
    <s v="Pharmacy"/>
    <s v="Houston"/>
    <x v="0"/>
    <s v="Walgreens"/>
    <s v="Paid"/>
    <s v="-"/>
    <x v="0"/>
    <n v="2025"/>
    <s v="normal"/>
  </r>
  <r>
    <n v="6"/>
    <x v="5"/>
    <s v="Utilities"/>
    <s v="Sample expense 6"/>
    <s v="UPI"/>
    <n v="4815.1099999999997"/>
    <s v="Internet"/>
    <s v="Miami"/>
    <x v="1"/>
    <s v="Verizon"/>
    <s v="Paid"/>
    <s v="-"/>
    <x v="2"/>
    <n v="2025"/>
    <s v="high"/>
  </r>
  <r>
    <n v="7"/>
    <x v="6"/>
    <s v="Utilities"/>
    <s v="Sample expense 7"/>
    <s v="Cash"/>
    <n v="4188.1000000000004"/>
    <s v="Electricity"/>
    <s v="New York"/>
    <x v="1"/>
    <s v="ComEd"/>
    <s v="Paid"/>
    <s v="-"/>
    <x v="3"/>
    <n v="2025"/>
    <s v="high"/>
  </r>
  <r>
    <n v="8"/>
    <x v="0"/>
    <s v="Utilities"/>
    <s v="Sample expense 8"/>
    <s v="Cash"/>
    <n v="3495.07"/>
    <s v="Internet"/>
    <s v="New York"/>
    <x v="1"/>
    <s v="ComEd"/>
    <s v="Paid"/>
    <s v="-"/>
    <x v="0"/>
    <n v="2025"/>
    <s v="high"/>
  </r>
  <r>
    <n v="9"/>
    <x v="7"/>
    <s v="Utilities"/>
    <s v="Sample expense 9"/>
    <s v="Card"/>
    <n v="2074.3200000000002"/>
    <s v="Electricity"/>
    <s v="Los Angeles"/>
    <x v="1"/>
    <s v="City Water"/>
    <s v="Paid"/>
    <s v="-"/>
    <x v="0"/>
    <n v="2025"/>
    <s v="normal"/>
  </r>
  <r>
    <n v="10"/>
    <x v="8"/>
    <s v="Utilities"/>
    <s v="Sample expense 10"/>
    <s v="Card"/>
    <n v="907.81"/>
    <s v="Internet"/>
    <s v="Houston"/>
    <x v="1"/>
    <s v="GasCo"/>
    <s v="Paid"/>
    <s v="-"/>
    <x v="2"/>
    <n v="2025"/>
    <s v="normal"/>
  </r>
  <r>
    <n v="11"/>
    <x v="9"/>
    <s v="Medical"/>
    <s v="Sample expense 11"/>
    <s v="Card"/>
    <n v="824.36"/>
    <s v="Pharmacy"/>
    <s v="Los Angeles"/>
    <x v="0"/>
    <s v="City Hospital"/>
    <s v="Paid"/>
    <s v="-"/>
    <x v="2"/>
    <n v="2025"/>
    <s v="normal"/>
  </r>
  <r>
    <n v="12"/>
    <x v="10"/>
    <s v="Medical"/>
    <s v="Sample expense 12"/>
    <s v="Card"/>
    <n v="1288.7"/>
    <s v="Health Insurance"/>
    <s v="Los Angeles"/>
    <x v="1"/>
    <s v="HealthCare Inc"/>
    <s v="Paid"/>
    <s v="-"/>
    <x v="0"/>
    <n v="2025"/>
    <s v="normal"/>
  </r>
  <r>
    <n v="13"/>
    <x v="11"/>
    <s v="Travel"/>
    <s v="Sample expense 13"/>
    <s v="Card"/>
    <n v="2768.67"/>
    <s v="Taxi"/>
    <s v="Los Angeles"/>
    <x v="1"/>
    <s v="Shell Fuel"/>
    <s v="Paid"/>
    <s v="-"/>
    <x v="0"/>
    <n v="2025"/>
    <s v="normal"/>
  </r>
  <r>
    <n v="14"/>
    <x v="12"/>
    <s v="Rent"/>
    <s v="Sample expense 14"/>
    <s v="UPI"/>
    <n v="3587.25"/>
    <s v="Storage"/>
    <s v="Miami"/>
    <x v="1"/>
    <s v="ABC Realty"/>
    <s v="Paid"/>
    <s v="-"/>
    <x v="0"/>
    <n v="2025"/>
    <s v="high"/>
  </r>
  <r>
    <n v="15"/>
    <x v="13"/>
    <s v="Entertainment"/>
    <s v="Sample expense 15"/>
    <s v="Cash"/>
    <n v="3317.98"/>
    <s v="Subscription"/>
    <s v="Miami"/>
    <x v="1"/>
    <s v="PlayStation Store"/>
    <s v="Paid"/>
    <s v="-"/>
    <x v="4"/>
    <n v="2025"/>
    <s v="high"/>
  </r>
  <r>
    <n v="16"/>
    <x v="14"/>
    <s v="Utilities"/>
    <s v="Sample expense 16"/>
    <s v="Cash"/>
    <n v="1435.67"/>
    <s v="Electricity"/>
    <s v="Chicago"/>
    <x v="0"/>
    <s v="ComEd"/>
    <s v="Paid"/>
    <s v="-"/>
    <x v="4"/>
    <n v="2025"/>
    <s v="normal"/>
  </r>
  <r>
    <n v="17"/>
    <x v="15"/>
    <s v="Food"/>
    <s v="Sample expense 17"/>
    <s v="Cash"/>
    <n v="4776.58"/>
    <s v="Groceries"/>
    <s v="Chicago"/>
    <x v="1"/>
    <s v="Domino's"/>
    <s v="Paid"/>
    <s v="-"/>
    <x v="4"/>
    <n v="2025"/>
    <s v="high"/>
  </r>
  <r>
    <n v="18"/>
    <x v="16"/>
    <s v="Entertainment"/>
    <s v="Sample expense 18"/>
    <s v="Cash"/>
    <n v="3702.59"/>
    <s v="Subscription"/>
    <s v="Los Angeles"/>
    <x v="1"/>
    <s v="AMC"/>
    <s v="Paid"/>
    <s v="-"/>
    <x v="5"/>
    <n v="2025"/>
    <s v="high"/>
  </r>
  <r>
    <n v="19"/>
    <x v="17"/>
    <s v="Medical"/>
    <s v="Sample expense 19"/>
    <s v="Card"/>
    <n v="2794.05"/>
    <s v="Pharmacy"/>
    <s v="Houston"/>
    <x v="1"/>
    <s v="Walgreens"/>
    <s v="Paid"/>
    <s v="-"/>
    <x v="6"/>
    <n v="2025"/>
    <s v="normal"/>
  </r>
  <r>
    <n v="20"/>
    <x v="9"/>
    <s v="Food"/>
    <s v="Sample expense 20"/>
    <s v="Cash"/>
    <n v="3078.02"/>
    <s v="Restaurant"/>
    <s v="New York"/>
    <x v="1"/>
    <s v="Walmart"/>
    <s v="Paid"/>
    <s v="-"/>
    <x v="2"/>
    <n v="2025"/>
    <s v="high"/>
  </r>
  <r>
    <n v="21"/>
    <x v="18"/>
    <s v="Food"/>
    <s v="Sample expense 21"/>
    <s v="UPI"/>
    <n v="2127.02"/>
    <s v="Groceries"/>
    <s v="Miami"/>
    <x v="1"/>
    <s v="Domino's"/>
    <s v="Paid"/>
    <s v="-"/>
    <x v="4"/>
    <n v="2025"/>
    <s v="normal"/>
  </r>
  <r>
    <n v="22"/>
    <x v="19"/>
    <s v="Food"/>
    <s v="Sample expense 22"/>
    <s v="UPI"/>
    <n v="1276.27"/>
    <s v="Restaurant"/>
    <s v="Houston"/>
    <x v="1"/>
    <s v="Subway"/>
    <s v="Paid"/>
    <s v="-"/>
    <x v="3"/>
    <n v="2025"/>
    <s v="normal"/>
  </r>
  <r>
    <n v="23"/>
    <x v="20"/>
    <s v="Travel"/>
    <s v="Sample expense 23"/>
    <s v="Cash"/>
    <n v="1812.06"/>
    <s v="Flight"/>
    <s v="Phoenix"/>
    <x v="1"/>
    <s v="Delta Airlines"/>
    <s v="Paid"/>
    <s v="-"/>
    <x v="4"/>
    <n v="2025"/>
    <s v="normal"/>
  </r>
  <r>
    <n v="24"/>
    <x v="6"/>
    <s v="Medical"/>
    <s v="Sample expense 24"/>
    <s v="Cash"/>
    <n v="3801.34"/>
    <s v="Health Insurance"/>
    <s v="Miami"/>
    <x v="1"/>
    <s v="CVS"/>
    <s v="Paid"/>
    <s v="-"/>
    <x v="3"/>
    <n v="2025"/>
    <s v="high"/>
  </r>
  <r>
    <n v="25"/>
    <x v="21"/>
    <s v="Food"/>
    <s v="Sample expense 25"/>
    <s v="UPI"/>
    <n v="121.25"/>
    <s v="Groceries"/>
    <s v="Miami"/>
    <x v="0"/>
    <s v="Starbucks"/>
    <s v="Paid"/>
    <s v="-"/>
    <x v="1"/>
    <n v="2026"/>
    <s v="normal"/>
  </r>
  <r>
    <n v="26"/>
    <x v="22"/>
    <s v="Utilities"/>
    <s v="Sample expense 26"/>
    <s v="UPI"/>
    <n v="624.55999999999995"/>
    <s v="Gas"/>
    <s v="Chicago"/>
    <x v="0"/>
    <s v="City Water"/>
    <s v="Paid"/>
    <s v="-"/>
    <x v="5"/>
    <n v="2025"/>
    <s v="normal"/>
  </r>
  <r>
    <n v="27"/>
    <x v="23"/>
    <s v="Shopping"/>
    <s v="Sample expense 27"/>
    <s v="Card"/>
    <n v="277.70999999999998"/>
    <s v="Clothes"/>
    <s v="New York"/>
    <x v="1"/>
    <s v="Amazon"/>
    <s v="Paid"/>
    <s v="-"/>
    <x v="3"/>
    <n v="2025"/>
    <s v="normal"/>
  </r>
  <r>
    <n v="28"/>
    <x v="24"/>
    <s v="Food"/>
    <s v="Sample expense 28"/>
    <s v="UPI"/>
    <n v="251.61"/>
    <s v="Groceries"/>
    <s v="New York"/>
    <x v="0"/>
    <s v="Starbucks"/>
    <s v="Paid"/>
    <s v="-"/>
    <x v="2"/>
    <n v="2025"/>
    <s v="normal"/>
  </r>
  <r>
    <n v="29"/>
    <x v="25"/>
    <s v="Travel"/>
    <s v="Sample expense 29"/>
    <s v="Card"/>
    <n v="4284.53"/>
    <s v="Fuel"/>
    <s v="Phoenix"/>
    <x v="0"/>
    <s v="Shell Fuel"/>
    <s v="Paid"/>
    <s v="-"/>
    <x v="5"/>
    <n v="2025"/>
    <s v="high"/>
  </r>
  <r>
    <n v="30"/>
    <x v="26"/>
    <s v="Entertainment"/>
    <s v="Sample expense 30"/>
    <s v="Card"/>
    <n v="3533.11"/>
    <s v="Subscription"/>
    <s v="Phoenix"/>
    <x v="1"/>
    <s v="Netflix"/>
    <s v="Paid"/>
    <s v="-"/>
    <x v="5"/>
    <n v="2025"/>
    <s v="high"/>
  </r>
  <r>
    <n v="31"/>
    <x v="27"/>
    <s v="Medical"/>
    <s v="Sample expense 31"/>
    <s v="Card"/>
    <n v="2397.16"/>
    <s v="Doctor"/>
    <s v="Miami"/>
    <x v="0"/>
    <s v="Walgreens"/>
    <s v="Paid"/>
    <s v="-"/>
    <x v="1"/>
    <n v="2026"/>
    <s v="normal"/>
  </r>
  <r>
    <n v="32"/>
    <x v="3"/>
    <s v="Travel"/>
    <s v="Sample expense 32"/>
    <s v="Card"/>
    <n v="534.28"/>
    <s v="Fuel"/>
    <s v="Los Angeles"/>
    <x v="1"/>
    <s v="Greyhound"/>
    <s v="Paid"/>
    <s v="-"/>
    <x v="3"/>
    <n v="2025"/>
    <s v="normal"/>
  </r>
  <r>
    <n v="33"/>
    <x v="28"/>
    <s v="Food"/>
    <s v="Sample expense 33"/>
    <s v="Card"/>
    <n v="2483.5"/>
    <s v="Snacks"/>
    <s v="Chicago"/>
    <x v="0"/>
    <s v="Subway"/>
    <s v="Paid"/>
    <s v="-"/>
    <x v="1"/>
    <n v="2026"/>
    <s v="normal"/>
  </r>
  <r>
    <n v="34"/>
    <x v="29"/>
    <s v="Medical"/>
    <s v="Sample expense 34"/>
    <s v="Cash"/>
    <n v="2393.69"/>
    <s v="Health Insurance"/>
    <s v="Chicago"/>
    <x v="1"/>
    <s v="CVS"/>
    <s v="Paid"/>
    <s v="-"/>
    <x v="5"/>
    <n v="2025"/>
    <s v="normal"/>
  </r>
  <r>
    <n v="35"/>
    <x v="30"/>
    <s v="Shopping"/>
    <s v="Sample expense 35"/>
    <s v="UPI"/>
    <n v="907.35"/>
    <s v="Clothes"/>
    <s v="Miami"/>
    <x v="1"/>
    <s v="Target"/>
    <s v="Paid"/>
    <s v="-"/>
    <x v="0"/>
    <n v="2025"/>
    <s v="normal"/>
  </r>
  <r>
    <n v="36"/>
    <x v="31"/>
    <s v="Food"/>
    <s v="Sample expense 36"/>
    <s v="Card"/>
    <n v="2197.5700000000002"/>
    <s v="Beverages"/>
    <s v="Houston"/>
    <x v="1"/>
    <s v="Walmart"/>
    <s v="Paid"/>
    <s v="-"/>
    <x v="5"/>
    <n v="2025"/>
    <s v="normal"/>
  </r>
  <r>
    <n v="37"/>
    <x v="32"/>
    <s v="Travel"/>
    <s v="Sample expense 37"/>
    <s v="UPI"/>
    <n v="2022.6"/>
    <s v="Train"/>
    <s v="Los Angeles"/>
    <x v="0"/>
    <s v="Uber"/>
    <s v="Paid"/>
    <s v="-"/>
    <x v="5"/>
    <n v="2025"/>
    <s v="normal"/>
  </r>
  <r>
    <n v="38"/>
    <x v="14"/>
    <s v="Rent"/>
    <s v="Sample expense 38"/>
    <s v="UPI"/>
    <n v="3098.46"/>
    <s v="Storage"/>
    <s v="Miami"/>
    <x v="1"/>
    <s v="HomeStay"/>
    <s v="Paid"/>
    <s v="-"/>
    <x v="4"/>
    <n v="2025"/>
    <s v="high"/>
  </r>
  <r>
    <n v="39"/>
    <x v="29"/>
    <s v="Utilities"/>
    <s v="Sample expense 39"/>
    <s v="Card"/>
    <n v="3193.71"/>
    <s v="Gas"/>
    <s v="Los Angeles"/>
    <x v="1"/>
    <s v="Verizon"/>
    <s v="Paid"/>
    <s v="-"/>
    <x v="5"/>
    <n v="2025"/>
    <s v="high"/>
  </r>
  <r>
    <n v="40"/>
    <x v="33"/>
    <s v="Entertainment"/>
    <s v="Sample expense 40"/>
    <s v="Cash"/>
    <n v="274.25"/>
    <s v="Movies"/>
    <s v="Los Angeles"/>
    <x v="1"/>
    <s v="PlayStation Store"/>
    <s v="Paid"/>
    <s v="-"/>
    <x v="4"/>
    <n v="2025"/>
    <s v="normal"/>
  </r>
  <r>
    <n v="41"/>
    <x v="6"/>
    <s v="Travel"/>
    <s v="Sample expense 41"/>
    <s v="Card"/>
    <n v="1904.33"/>
    <s v="Flight"/>
    <s v="Los Angeles"/>
    <x v="1"/>
    <s v="Delta Airlines"/>
    <s v="Paid"/>
    <s v="-"/>
    <x v="3"/>
    <n v="2025"/>
    <s v="normal"/>
  </r>
  <r>
    <n v="42"/>
    <x v="34"/>
    <s v="Medical"/>
    <s v="Sample expense 42"/>
    <s v="Cash"/>
    <n v="3148.01"/>
    <s v="Hospital"/>
    <s v="Miami"/>
    <x v="1"/>
    <s v="HealthCare Inc"/>
    <s v="Paid"/>
    <s v="-"/>
    <x v="2"/>
    <n v="2025"/>
    <s v="high"/>
  </r>
  <r>
    <n v="43"/>
    <x v="35"/>
    <s v="Food"/>
    <s v="Sample expense 43"/>
    <s v="UPI"/>
    <n v="2540.52"/>
    <s v="Groceries"/>
    <s v="Chicago"/>
    <x v="0"/>
    <s v="Walmart"/>
    <s v="Paid"/>
    <s v="-"/>
    <x v="1"/>
    <n v="2026"/>
    <s v="normal"/>
  </r>
  <r>
    <n v="44"/>
    <x v="36"/>
    <s v="Utilities"/>
    <s v="Sample expense 44"/>
    <s v="Cash"/>
    <n v="4289.62"/>
    <s v="Electricity"/>
    <s v="Chicago"/>
    <x v="1"/>
    <s v="ComEd"/>
    <s v="Paid"/>
    <s v="-"/>
    <x v="3"/>
    <n v="2025"/>
    <s v="high"/>
  </r>
  <r>
    <n v="45"/>
    <x v="37"/>
    <s v="Food"/>
    <s v="Sample expense 45"/>
    <s v="Cash"/>
    <n v="3310.53"/>
    <s v="Restaurant"/>
    <s v="Los Angeles"/>
    <x v="1"/>
    <s v="Subway"/>
    <s v="Paid"/>
    <s v="-"/>
    <x v="4"/>
    <n v="2025"/>
    <s v="high"/>
  </r>
  <r>
    <n v="46"/>
    <x v="24"/>
    <s v="Medical"/>
    <s v="Sample expense 46"/>
    <s v="Cash"/>
    <n v="856.53"/>
    <s v="Hospital"/>
    <s v="Houston"/>
    <x v="1"/>
    <s v="Walgreens"/>
    <s v="Paid"/>
    <s v="-"/>
    <x v="2"/>
    <n v="2025"/>
    <s v="normal"/>
  </r>
  <r>
    <n v="47"/>
    <x v="38"/>
    <s v="Food"/>
    <s v="Sample expense 47"/>
    <s v="UPI"/>
    <n v="399.32"/>
    <s v="Snacks"/>
    <s v="New York"/>
    <x v="1"/>
    <s v="Subway"/>
    <s v="Paid"/>
    <s v="-"/>
    <x v="5"/>
    <n v="2025"/>
    <s v="normal"/>
  </r>
  <r>
    <n v="48"/>
    <x v="39"/>
    <s v="Rent"/>
    <s v="Sample expense 48"/>
    <s v="UPI"/>
    <n v="3229.98"/>
    <s v="Apartment"/>
    <s v="Miami"/>
    <x v="1"/>
    <s v="OfficeLease"/>
    <s v="Paid"/>
    <s v="-"/>
    <x v="3"/>
    <n v="2025"/>
    <s v="high"/>
  </r>
  <r>
    <n v="49"/>
    <x v="40"/>
    <s v="Utilities"/>
    <s v="Sample expense 49"/>
    <s v="Cash"/>
    <n v="181.23"/>
    <s v="Electricity"/>
    <s v="New York"/>
    <x v="1"/>
    <s v="GasCo"/>
    <s v="Paid"/>
    <s v="-"/>
    <x v="3"/>
    <n v="2025"/>
    <s v="normal"/>
  </r>
  <r>
    <n v="50"/>
    <x v="41"/>
    <s v="Utilities"/>
    <s v="Sample expense 50"/>
    <s v="Cash"/>
    <n v="2949.59"/>
    <s v="Water"/>
    <s v="Houston"/>
    <x v="0"/>
    <s v="City Water"/>
    <s v="Pending"/>
    <s v="-"/>
    <x v="2"/>
    <n v="2025"/>
    <s v="normal"/>
  </r>
  <r>
    <n v="51"/>
    <x v="16"/>
    <s v="Medical"/>
    <s v="Sample expense 51"/>
    <s v="Card"/>
    <n v="4704.1400000000003"/>
    <s v="Doctor"/>
    <s v="Miami"/>
    <x v="1"/>
    <s v="CVS"/>
    <s v="Paid"/>
    <s v="-"/>
    <x v="5"/>
    <n v="2025"/>
    <s v="high"/>
  </r>
  <r>
    <n v="52"/>
    <x v="20"/>
    <s v="Entertainment"/>
    <s v="Sample expense 52"/>
    <s v="Cash"/>
    <n v="2898.6"/>
    <s v="Concert"/>
    <s v="Los Angeles"/>
    <x v="1"/>
    <s v="AMC"/>
    <s v="Paid"/>
    <s v="-"/>
    <x v="4"/>
    <n v="2025"/>
    <s v="normal"/>
  </r>
  <r>
    <n v="53"/>
    <x v="42"/>
    <s v="Rent"/>
    <s v="Sample expense 53"/>
    <s v="Card"/>
    <n v="1971.44"/>
    <s v="Storage"/>
    <s v="Chicago"/>
    <x v="1"/>
    <s v="ABC Realty"/>
    <s v="Paid"/>
    <s v="-"/>
    <x v="2"/>
    <n v="2025"/>
    <s v="normal"/>
  </r>
  <r>
    <n v="54"/>
    <x v="43"/>
    <s v="Travel"/>
    <s v="Sample expense 54"/>
    <s v="Cash"/>
    <n v="3234.28"/>
    <s v="Taxi"/>
    <s v="New York"/>
    <x v="1"/>
    <s v="Uber"/>
    <s v="Paid"/>
    <s v="-"/>
    <x v="2"/>
    <n v="2025"/>
    <s v="high"/>
  </r>
  <r>
    <n v="55"/>
    <x v="44"/>
    <s v="Food"/>
    <s v="Sample expense 55"/>
    <s v="Card"/>
    <n v="2318.35"/>
    <s v="Snacks"/>
    <s v="Phoenix"/>
    <x v="0"/>
    <s v="Walmart"/>
    <s v="Paid"/>
    <s v="-"/>
    <x v="0"/>
    <n v="2025"/>
    <s v="normal"/>
  </r>
  <r>
    <n v="56"/>
    <x v="45"/>
    <s v="Shopping"/>
    <s v="Sample expense 56"/>
    <s v="UPI"/>
    <n v="2750.8"/>
    <s v="Accessories"/>
    <s v="Phoenix"/>
    <x v="1"/>
    <s v="Target"/>
    <s v="Paid"/>
    <s v="-"/>
    <x v="1"/>
    <n v="2026"/>
    <s v="normal"/>
  </r>
  <r>
    <n v="57"/>
    <x v="46"/>
    <s v="Food"/>
    <s v="Sample expense 57"/>
    <s v="Cash"/>
    <n v="4710.25"/>
    <s v="Restaurant"/>
    <s v="Houston"/>
    <x v="1"/>
    <s v="Domino's"/>
    <s v="Paid"/>
    <s v="-"/>
    <x v="3"/>
    <n v="2025"/>
    <s v="high"/>
  </r>
  <r>
    <n v="58"/>
    <x v="28"/>
    <s v="Food"/>
    <s v="Sample expense 58"/>
    <s v="Cash"/>
    <n v="1961.21"/>
    <s v="Beverages"/>
    <s v="Los Angeles"/>
    <x v="1"/>
    <s v="Walmart"/>
    <s v="Paid"/>
    <s v="-"/>
    <x v="1"/>
    <n v="2026"/>
    <s v="normal"/>
  </r>
  <r>
    <n v="59"/>
    <x v="47"/>
    <s v="Travel"/>
    <s v="Sample expense 59"/>
    <s v="Cash"/>
    <n v="4807.8900000000003"/>
    <s v="Bus"/>
    <s v="New York"/>
    <x v="0"/>
    <s v="Uber"/>
    <s v="Paid"/>
    <s v="-"/>
    <x v="3"/>
    <n v="2025"/>
    <s v="high"/>
  </r>
  <r>
    <n v="60"/>
    <x v="48"/>
    <s v="Food"/>
    <s v="Sample expense 60"/>
    <s v="Cash"/>
    <n v="4531.49"/>
    <s v="Beverages"/>
    <s v="Los Angeles"/>
    <x v="1"/>
    <s v="Starbucks"/>
    <s v="Paid"/>
    <s v="-"/>
    <x v="2"/>
    <n v="2025"/>
    <s v="high"/>
  </r>
  <r>
    <n v="61"/>
    <x v="49"/>
    <s v="Rent"/>
    <s v="Sample expense 61"/>
    <s v="Card"/>
    <n v="1019.17"/>
    <s v="Apartment"/>
    <s v="New York"/>
    <x v="1"/>
    <s v="ABC Realty"/>
    <s v="Paid"/>
    <s v="-"/>
    <x v="1"/>
    <n v="2026"/>
    <s v="normal"/>
  </r>
  <r>
    <n v="62"/>
    <x v="50"/>
    <s v="Rent"/>
    <s v="Sample expense 62"/>
    <s v="Cash"/>
    <n v="393.34"/>
    <s v="Office"/>
    <s v="Houston"/>
    <x v="0"/>
    <s v="OfficeLease"/>
    <s v="Paid"/>
    <s v="-"/>
    <x v="5"/>
    <n v="2025"/>
    <s v="normal"/>
  </r>
  <r>
    <n v="63"/>
    <x v="12"/>
    <s v="Utilities"/>
    <s v="Sample expense 63"/>
    <s v="UPI"/>
    <n v="548.85"/>
    <s v="Gas"/>
    <s v="Houston"/>
    <x v="1"/>
    <s v="City Water"/>
    <s v="Paid"/>
    <s v="-"/>
    <x v="0"/>
    <n v="2025"/>
    <s v="normal"/>
  </r>
  <r>
    <n v="64"/>
    <x v="37"/>
    <s v="Medical"/>
    <s v="Sample expense 64"/>
    <s v="UPI"/>
    <n v="140.19999999999999"/>
    <s v="Health Insurance"/>
    <s v="Phoenix"/>
    <x v="0"/>
    <s v="City Hospital"/>
    <s v="Paid"/>
    <s v="-"/>
    <x v="4"/>
    <n v="2025"/>
    <s v="normal"/>
  </r>
  <r>
    <n v="65"/>
    <x v="17"/>
    <s v="Entertainment"/>
    <s v="Sample expense 65"/>
    <s v="Cash"/>
    <n v="517.49"/>
    <s v="Games"/>
    <s v="Los Angeles"/>
    <x v="0"/>
    <s v="Netflix"/>
    <s v="Pending"/>
    <s v="-"/>
    <x v="6"/>
    <n v="2025"/>
    <s v="normal"/>
  </r>
  <r>
    <n v="66"/>
    <x v="51"/>
    <s v="Shopping"/>
    <s v="Sample expense 66"/>
    <s v="UPI"/>
    <n v="3430.88"/>
    <s v="Accessories"/>
    <s v="Miami"/>
    <x v="1"/>
    <s v="Target"/>
    <s v="Paid"/>
    <s v="-"/>
    <x v="4"/>
    <n v="2025"/>
    <s v="high"/>
  </r>
  <r>
    <n v="67"/>
    <x v="52"/>
    <s v="Food"/>
    <s v="Sample expense 67"/>
    <s v="Cash"/>
    <n v="402.38"/>
    <s v="Restaurant"/>
    <s v="Phoenix"/>
    <x v="1"/>
    <s v="Subway"/>
    <s v="Paid"/>
    <s v="-"/>
    <x v="5"/>
    <n v="2025"/>
    <s v="normal"/>
  </r>
  <r>
    <n v="68"/>
    <x v="53"/>
    <s v="Food"/>
    <s v="Sample expense 68"/>
    <s v="Cash"/>
    <n v="1628.93"/>
    <s v="Beverages"/>
    <s v="Los Angeles"/>
    <x v="1"/>
    <s v="Starbucks"/>
    <s v="Paid"/>
    <s v="-"/>
    <x v="0"/>
    <n v="2025"/>
    <s v="normal"/>
  </r>
  <r>
    <n v="69"/>
    <x v="54"/>
    <s v="Travel"/>
    <s v="Sample expense 69"/>
    <s v="UPI"/>
    <n v="4232.13"/>
    <s v="Flight"/>
    <s v="Phoenix"/>
    <x v="1"/>
    <s v="Delta Airlines"/>
    <s v="Paid"/>
    <s v="-"/>
    <x v="6"/>
    <n v="2025"/>
    <s v="high"/>
  </r>
  <r>
    <n v="70"/>
    <x v="52"/>
    <s v="Medical"/>
    <s v="Sample expense 70"/>
    <s v="Cash"/>
    <n v="165.2"/>
    <s v="Health Insurance"/>
    <s v="Miami"/>
    <x v="1"/>
    <s v="HealthCare Inc"/>
    <s v="Pending"/>
    <s v="-"/>
    <x v="5"/>
    <n v="2025"/>
    <s v="normal"/>
  </r>
  <r>
    <n v="71"/>
    <x v="55"/>
    <s v="Rent"/>
    <s v="Sample expense 71"/>
    <s v="UPI"/>
    <n v="4081.62"/>
    <s v="Apartment"/>
    <s v="Chicago"/>
    <x v="1"/>
    <s v="HomeStay"/>
    <s v="Paid"/>
    <s v="-"/>
    <x v="4"/>
    <n v="2025"/>
    <s v="high"/>
  </r>
  <r>
    <n v="72"/>
    <x v="56"/>
    <s v="Shopping"/>
    <s v="Sample expense 72"/>
    <s v="Card"/>
    <n v="1445.18"/>
    <s v="Clothes"/>
    <s v="Chicago"/>
    <x v="1"/>
    <s v="Best Buy"/>
    <s v="Paid"/>
    <s v="-"/>
    <x v="5"/>
    <n v="2025"/>
    <s v="normal"/>
  </r>
  <r>
    <n v="73"/>
    <x v="57"/>
    <s v="Utilities"/>
    <s v="Sample expense 73"/>
    <s v="Cash"/>
    <n v="634.91999999999996"/>
    <s v="Gas"/>
    <s v="Chicago"/>
    <x v="1"/>
    <s v="Verizon"/>
    <s v="Paid"/>
    <s v="-"/>
    <x v="1"/>
    <n v="2026"/>
    <s v="normal"/>
  </r>
  <r>
    <n v="74"/>
    <x v="39"/>
    <s v="Rent"/>
    <s v="Sample expense 74"/>
    <s v="Card"/>
    <n v="3498.85"/>
    <s v="Storage"/>
    <s v="Chicago"/>
    <x v="1"/>
    <s v="OfficeLease"/>
    <s v="Paid"/>
    <s v="-"/>
    <x v="3"/>
    <n v="2025"/>
    <s v="high"/>
  </r>
  <r>
    <n v="75"/>
    <x v="58"/>
    <s v="Medical"/>
    <s v="Sample expense 75"/>
    <s v="UPI"/>
    <n v="3163.27"/>
    <s v="Doctor"/>
    <s v="New York"/>
    <x v="1"/>
    <s v="CVS"/>
    <s v="Paid"/>
    <s v="-"/>
    <x v="2"/>
    <n v="2025"/>
    <s v="high"/>
  </r>
  <r>
    <n v="76"/>
    <x v="59"/>
    <s v="Entertainment"/>
    <s v="Sample expense 76"/>
    <s v="Card"/>
    <n v="4393.49"/>
    <s v="Concert"/>
    <s v="Chicago"/>
    <x v="1"/>
    <s v="PlayStation Store"/>
    <s v="Paid"/>
    <s v="-"/>
    <x v="5"/>
    <n v="2025"/>
    <s v="high"/>
  </r>
  <r>
    <n v="77"/>
    <x v="3"/>
    <s v="Utilities"/>
    <s v="Sample expense 77"/>
    <s v="Card"/>
    <n v="3688.6"/>
    <s v="Electricity"/>
    <s v="Miami"/>
    <x v="1"/>
    <s v="City Water"/>
    <s v="Paid"/>
    <s v="-"/>
    <x v="3"/>
    <n v="2025"/>
    <s v="high"/>
  </r>
  <r>
    <n v="78"/>
    <x v="60"/>
    <s v="Entertainment"/>
    <s v="Sample expense 78"/>
    <s v="UPI"/>
    <n v="4027.23"/>
    <s v="Movies"/>
    <s v="Houston"/>
    <x v="1"/>
    <s v="AMC"/>
    <s v="Paid"/>
    <s v="-"/>
    <x v="5"/>
    <n v="2025"/>
    <s v="high"/>
  </r>
  <r>
    <n v="79"/>
    <x v="61"/>
    <s v="Travel"/>
    <s v="Sample expense 79"/>
    <s v="Card"/>
    <n v="1446.07"/>
    <s v="Taxi"/>
    <s v="Houston"/>
    <x v="0"/>
    <s v="Shell Fuel"/>
    <s v="Paid"/>
    <s v="-"/>
    <x v="2"/>
    <n v="2025"/>
    <s v="normal"/>
  </r>
  <r>
    <n v="80"/>
    <x v="44"/>
    <s v="Travel"/>
    <s v="Sample expense 80"/>
    <s v="Card"/>
    <n v="928.33"/>
    <s v="Fuel"/>
    <s v="New York"/>
    <x v="1"/>
    <s v="Greyhound"/>
    <s v="Pending"/>
    <s v="-"/>
    <x v="0"/>
    <n v="2025"/>
    <s v="normal"/>
  </r>
  <r>
    <n v="81"/>
    <x v="16"/>
    <s v="Food"/>
    <s v="Sample expense 81"/>
    <s v="UPI"/>
    <n v="3765.54"/>
    <s v="Beverages"/>
    <s v="Chicago"/>
    <x v="1"/>
    <s v="Subway"/>
    <s v="Paid"/>
    <s v="-"/>
    <x v="5"/>
    <n v="2025"/>
    <s v="high"/>
  </r>
  <r>
    <n v="82"/>
    <x v="62"/>
    <s v="Entertainment"/>
    <s v="Sample expense 82"/>
    <s v="Card"/>
    <n v="4043.83"/>
    <s v="Movies"/>
    <s v="Chicago"/>
    <x v="0"/>
    <s v="Spotify"/>
    <s v="Paid"/>
    <s v="-"/>
    <x v="3"/>
    <n v="2025"/>
    <s v="high"/>
  </r>
  <r>
    <n v="83"/>
    <x v="63"/>
    <s v="Medical"/>
    <s v="Sample expense 83"/>
    <s v="UPI"/>
    <n v="4953"/>
    <s v="Health Insurance"/>
    <s v="Chicago"/>
    <x v="0"/>
    <s v="City Hospital"/>
    <s v="Paid"/>
    <s v="-"/>
    <x v="4"/>
    <n v="2025"/>
    <s v="high"/>
  </r>
  <r>
    <n v="84"/>
    <x v="64"/>
    <s v="Shopping"/>
    <s v="Sample expense 84"/>
    <s v="Card"/>
    <n v="2092.46"/>
    <s v="Accessories"/>
    <s v="Phoenix"/>
    <x v="1"/>
    <s v="Amazon"/>
    <s v="Paid"/>
    <s v="-"/>
    <x v="0"/>
    <n v="2025"/>
    <s v="normal"/>
  </r>
  <r>
    <n v="85"/>
    <x v="65"/>
    <s v="Utilities"/>
    <s v="Sample expense 85"/>
    <s v="UPI"/>
    <n v="1891.49"/>
    <s v="Electricity"/>
    <s v="Los Angeles"/>
    <x v="1"/>
    <s v="City Water"/>
    <s v="Paid"/>
    <s v="-"/>
    <x v="5"/>
    <n v="2025"/>
    <s v="normal"/>
  </r>
  <r>
    <n v="86"/>
    <x v="66"/>
    <s v="Rent"/>
    <s v="Sample expense 86"/>
    <s v="UPI"/>
    <n v="3893.24"/>
    <s v="Apartment"/>
    <s v="Phoenix"/>
    <x v="1"/>
    <s v="HomeStay"/>
    <s v="Pending"/>
    <s v="-"/>
    <x v="4"/>
    <n v="2025"/>
    <s v="high"/>
  </r>
  <r>
    <n v="87"/>
    <x v="3"/>
    <s v="Medical"/>
    <s v="Sample expense 87"/>
    <s v="Card"/>
    <n v="1736.98"/>
    <s v="Doctor"/>
    <s v="Los Angeles"/>
    <x v="0"/>
    <s v="CVS"/>
    <s v="Paid"/>
    <s v="-"/>
    <x v="3"/>
    <n v="2025"/>
    <s v="normal"/>
  </r>
  <r>
    <n v="88"/>
    <x v="67"/>
    <s v="Medical"/>
    <s v="Sample expense 88"/>
    <s v="Card"/>
    <n v="4657.25"/>
    <s v="Hospital"/>
    <s v="Chicago"/>
    <x v="1"/>
    <s v="City Hospital"/>
    <s v="Paid"/>
    <s v="-"/>
    <x v="5"/>
    <n v="2025"/>
    <s v="high"/>
  </r>
  <r>
    <n v="89"/>
    <x v="68"/>
    <s v="Travel"/>
    <s v="Sample expense 89"/>
    <s v="Card"/>
    <n v="4299.1400000000003"/>
    <s v="Fuel"/>
    <s v="Chicago"/>
    <x v="1"/>
    <s v="Uber"/>
    <s v="Paid"/>
    <s v="-"/>
    <x v="5"/>
    <n v="2025"/>
    <s v="high"/>
  </r>
  <r>
    <n v="90"/>
    <x v="24"/>
    <s v="Entertainment"/>
    <s v="Sample expense 90"/>
    <s v="Cash"/>
    <n v="2173.52"/>
    <s v="Games"/>
    <s v="Phoenix"/>
    <x v="0"/>
    <s v="Netflix"/>
    <s v="Paid"/>
    <s v="-"/>
    <x v="2"/>
    <n v="2025"/>
    <s v="normal"/>
  </r>
  <r>
    <n v="91"/>
    <x v="69"/>
    <s v="Food"/>
    <s v="Sample expense 91"/>
    <s v="Cash"/>
    <n v="3766.81"/>
    <s v="Restaurant"/>
    <s v="Phoenix"/>
    <x v="0"/>
    <s v="Walmart"/>
    <s v="Paid"/>
    <s v="-"/>
    <x v="2"/>
    <n v="2025"/>
    <s v="high"/>
  </r>
  <r>
    <n v="92"/>
    <x v="40"/>
    <s v="Food"/>
    <s v="Sample expense 92"/>
    <s v="Cash"/>
    <n v="3784.99"/>
    <s v="Snacks"/>
    <s v="Los Angeles"/>
    <x v="1"/>
    <s v="Subway"/>
    <s v="Paid"/>
    <s v="-"/>
    <x v="3"/>
    <n v="2025"/>
    <s v="high"/>
  </r>
  <r>
    <n v="93"/>
    <x v="9"/>
    <s v="Utilities"/>
    <s v="Sample expense 93"/>
    <s v="UPI"/>
    <n v="560.46"/>
    <s v="Gas"/>
    <s v="Houston"/>
    <x v="1"/>
    <s v="City Water"/>
    <s v="Paid"/>
    <s v="-"/>
    <x v="2"/>
    <n v="2025"/>
    <s v="normal"/>
  </r>
  <r>
    <n v="94"/>
    <x v="70"/>
    <s v="Travel"/>
    <s v="Sample expense 94"/>
    <s v="Card"/>
    <n v="4517.6400000000003"/>
    <s v="Fuel"/>
    <s v="Los Angeles"/>
    <x v="1"/>
    <s v="Delta Airlines"/>
    <s v="Paid"/>
    <s v="-"/>
    <x v="0"/>
    <n v="2025"/>
    <s v="high"/>
  </r>
  <r>
    <n v="95"/>
    <x v="71"/>
    <s v="Medical"/>
    <s v="Sample expense 95"/>
    <s v="UPI"/>
    <n v="2551"/>
    <s v="Hospital"/>
    <s v="Phoenix"/>
    <x v="1"/>
    <s v="Walgreens"/>
    <s v="Paid"/>
    <s v="-"/>
    <x v="4"/>
    <n v="2025"/>
    <s v="normal"/>
  </r>
  <r>
    <n v="96"/>
    <x v="72"/>
    <s v="Shopping"/>
    <s v="Sample expense 96"/>
    <s v="Cash"/>
    <n v="4140.96"/>
    <s v="Clothes"/>
    <s v="Miami"/>
    <x v="1"/>
    <s v="Macy's"/>
    <s v="Paid"/>
    <s v="-"/>
    <x v="5"/>
    <n v="2025"/>
    <s v="high"/>
  </r>
  <r>
    <n v="97"/>
    <x v="73"/>
    <s v="Travel"/>
    <s v="Sample expense 97"/>
    <s v="Card"/>
    <n v="1634.25"/>
    <s v="Flight"/>
    <s v="Phoenix"/>
    <x v="1"/>
    <s v="Delta Airlines"/>
    <s v="Paid"/>
    <s v="-"/>
    <x v="4"/>
    <n v="2025"/>
    <s v="normal"/>
  </r>
  <r>
    <n v="98"/>
    <x v="48"/>
    <s v="Utilities"/>
    <s v="Sample expense 98"/>
    <s v="UPI"/>
    <n v="4482.84"/>
    <s v="Water"/>
    <s v="Miami"/>
    <x v="1"/>
    <s v="ComEd"/>
    <s v="Paid"/>
    <s v="-"/>
    <x v="2"/>
    <n v="2025"/>
    <s v="high"/>
  </r>
  <r>
    <n v="99"/>
    <x v="71"/>
    <s v="Utilities"/>
    <s v="Sample expense 99"/>
    <s v="Card"/>
    <n v="1976.55"/>
    <s v="Gas"/>
    <s v="New York"/>
    <x v="1"/>
    <s v="ComEd"/>
    <s v="Paid"/>
    <s v="-"/>
    <x v="4"/>
    <n v="2025"/>
    <s v="normal"/>
  </r>
  <r>
    <n v="100"/>
    <x v="74"/>
    <s v="Travel"/>
    <s v="Sample expense 100"/>
    <s v="UPI"/>
    <n v="103.65"/>
    <s v="Flight"/>
    <s v="Phoenix"/>
    <x v="1"/>
    <s v="Greyhound"/>
    <s v="Paid"/>
    <s v="-"/>
    <x v="1"/>
    <n v="2026"/>
    <s v="normal"/>
  </r>
  <r>
    <n v="101"/>
    <x v="74"/>
    <s v="Utilities"/>
    <s v="Sample expense 101"/>
    <s v="Card"/>
    <n v="4531.6400000000003"/>
    <s v="Internet"/>
    <s v="New York"/>
    <x v="1"/>
    <s v="ComEd"/>
    <s v="Paid"/>
    <s v="-"/>
    <x v="1"/>
    <n v="2026"/>
    <s v="high"/>
  </r>
  <r>
    <n v="102"/>
    <x v="75"/>
    <s v="Travel"/>
    <s v="Sample expense 102"/>
    <s v="Cash"/>
    <n v="501.87"/>
    <s v="Fuel"/>
    <s v="Houston"/>
    <x v="1"/>
    <s v="Shell Fuel"/>
    <s v="Paid"/>
    <s v="-"/>
    <x v="3"/>
    <n v="2025"/>
    <s v="normal"/>
  </r>
  <r>
    <n v="103"/>
    <x v="76"/>
    <s v="Rent"/>
    <s v="Sample expense 103"/>
    <s v="Cash"/>
    <n v="1630.6"/>
    <s v="Apartment"/>
    <s v="Los Angeles"/>
    <x v="1"/>
    <s v="ABC Realty"/>
    <s v="Paid"/>
    <s v="-"/>
    <x v="0"/>
    <n v="2025"/>
    <s v="normal"/>
  </r>
  <r>
    <n v="104"/>
    <x v="77"/>
    <s v="Travel"/>
    <s v="Sample expense 104"/>
    <s v="Card"/>
    <n v="4752.8100000000004"/>
    <s v="Taxi"/>
    <s v="Miami"/>
    <x v="1"/>
    <s v="Uber"/>
    <s v="Pending"/>
    <s v="-"/>
    <x v="6"/>
    <n v="2025"/>
    <s v="high"/>
  </r>
  <r>
    <n v="105"/>
    <x v="65"/>
    <s v="Entertainment"/>
    <s v="Sample expense 105"/>
    <s v="UPI"/>
    <n v="4755.51"/>
    <s v="Games"/>
    <s v="Los Angeles"/>
    <x v="1"/>
    <s v="PlayStation Store"/>
    <s v="Paid"/>
    <s v="-"/>
    <x v="5"/>
    <n v="2025"/>
    <s v="high"/>
  </r>
  <r>
    <n v="106"/>
    <x v="78"/>
    <s v="Travel"/>
    <s v="Sample expense 106"/>
    <s v="Cash"/>
    <n v="2888.52"/>
    <s v="Taxi"/>
    <s v="New York"/>
    <x v="1"/>
    <s v="Delta Airlines"/>
    <s v="Paid"/>
    <s v="-"/>
    <x v="3"/>
    <n v="2025"/>
    <s v="normal"/>
  </r>
  <r>
    <n v="107"/>
    <x v="33"/>
    <s v="Utilities"/>
    <s v="Sample expense 107"/>
    <s v="Cash"/>
    <n v="3177.59"/>
    <s v="Water"/>
    <s v="Miami"/>
    <x v="1"/>
    <s v="Verizon"/>
    <s v="Paid"/>
    <s v="-"/>
    <x v="4"/>
    <n v="2025"/>
    <s v="high"/>
  </r>
  <r>
    <n v="108"/>
    <x v="5"/>
    <s v="Entertainment"/>
    <s v="Sample expense 108"/>
    <s v="Cash"/>
    <n v="2269.81"/>
    <s v="Subscription"/>
    <s v="Los Angeles"/>
    <x v="1"/>
    <s v="PlayStation Store"/>
    <s v="Paid"/>
    <s v="-"/>
    <x v="2"/>
    <n v="2025"/>
    <s v="normal"/>
  </r>
  <r>
    <n v="109"/>
    <x v="79"/>
    <s v="Utilities"/>
    <s v="Sample expense 109"/>
    <s v="Card"/>
    <n v="1501.39"/>
    <s v="Internet"/>
    <s v="Phoenix"/>
    <x v="1"/>
    <s v="City Water"/>
    <s v="Paid"/>
    <s v="-"/>
    <x v="3"/>
    <n v="2025"/>
    <s v="normal"/>
  </r>
  <r>
    <n v="110"/>
    <x v="57"/>
    <s v="Food"/>
    <s v="Sample expense 110"/>
    <s v="Card"/>
    <n v="1676.89"/>
    <s v="Groceries"/>
    <s v="Chicago"/>
    <x v="1"/>
    <s v="Walmart"/>
    <s v="Paid"/>
    <s v="-"/>
    <x v="1"/>
    <n v="2026"/>
    <s v="normal"/>
  </r>
  <r>
    <n v="111"/>
    <x v="75"/>
    <s v="Food"/>
    <s v="Sample expense 111"/>
    <s v="UPI"/>
    <n v="3378.97"/>
    <s v="Snacks"/>
    <s v="New York"/>
    <x v="0"/>
    <s v="Domino's"/>
    <s v="Paid"/>
    <s v="-"/>
    <x v="3"/>
    <n v="2025"/>
    <s v="high"/>
  </r>
  <r>
    <n v="112"/>
    <x v="59"/>
    <s v="Entertainment"/>
    <s v="Sample expense 112"/>
    <s v="UPI"/>
    <n v="3774.25"/>
    <s v="Movies"/>
    <s v="Los Angeles"/>
    <x v="1"/>
    <s v="Netflix"/>
    <s v="Paid"/>
    <s v="-"/>
    <x v="5"/>
    <n v="2025"/>
    <s v="high"/>
  </r>
  <r>
    <n v="113"/>
    <x v="80"/>
    <s v="Rent"/>
    <s v="Sample expense 113"/>
    <s v="UPI"/>
    <n v="3968.32"/>
    <s v="Office"/>
    <s v="New York"/>
    <x v="1"/>
    <s v="OfficeLease"/>
    <s v="Paid"/>
    <s v="-"/>
    <x v="4"/>
    <n v="2025"/>
    <s v="high"/>
  </r>
  <r>
    <n v="114"/>
    <x v="81"/>
    <s v="Food"/>
    <s v="Sample expense 114"/>
    <s v="Card"/>
    <n v="3958.61"/>
    <s v="Snacks"/>
    <s v="New York"/>
    <x v="1"/>
    <s v="Walmart"/>
    <s v="Paid"/>
    <s v="-"/>
    <x v="5"/>
    <n v="2025"/>
    <s v="high"/>
  </r>
  <r>
    <n v="115"/>
    <x v="82"/>
    <s v="Travel"/>
    <s v="Sample expense 115"/>
    <s v="Card"/>
    <n v="501.47"/>
    <s v="Taxi"/>
    <s v="Miami"/>
    <x v="0"/>
    <s v="Shell Fuel"/>
    <s v="Paid"/>
    <s v="-"/>
    <x v="3"/>
    <n v="2025"/>
    <s v="normal"/>
  </r>
  <r>
    <n v="116"/>
    <x v="83"/>
    <s v="Utilities"/>
    <s v="Sample expense 116"/>
    <s v="UPI"/>
    <n v="2497.38"/>
    <s v="Water"/>
    <s v="Miami"/>
    <x v="1"/>
    <s v="ComEd"/>
    <s v="Paid"/>
    <s v="-"/>
    <x v="2"/>
    <n v="2025"/>
    <s v="normal"/>
  </r>
  <r>
    <n v="117"/>
    <x v="45"/>
    <s v="Food"/>
    <s v="Sample expense 117"/>
    <s v="UPI"/>
    <n v="334.92"/>
    <s v="Snacks"/>
    <s v="Chicago"/>
    <x v="1"/>
    <s v="Starbucks"/>
    <s v="Paid"/>
    <s v="-"/>
    <x v="1"/>
    <n v="2026"/>
    <s v="normal"/>
  </r>
  <r>
    <n v="118"/>
    <x v="12"/>
    <s v="Food"/>
    <s v="Sample expense 118"/>
    <s v="Card"/>
    <n v="2770.17"/>
    <s v="Snacks"/>
    <s v="Phoenix"/>
    <x v="1"/>
    <s v="Subway"/>
    <s v="Paid"/>
    <s v="-"/>
    <x v="0"/>
    <n v="2025"/>
    <s v="normal"/>
  </r>
  <r>
    <n v="119"/>
    <x v="47"/>
    <s v="Rent"/>
    <s v="Sample expense 119"/>
    <s v="UPI"/>
    <n v="2235.58"/>
    <s v="Apartment"/>
    <s v="New York"/>
    <x v="1"/>
    <s v="OfficeLease"/>
    <s v="Paid"/>
    <s v="-"/>
    <x v="3"/>
    <n v="2025"/>
    <s v="normal"/>
  </r>
  <r>
    <n v="120"/>
    <x v="84"/>
    <s v="Entertainment"/>
    <s v="Sample expense 120"/>
    <s v="Cash"/>
    <n v="4444.1400000000003"/>
    <s v="Movies"/>
    <s v="Los Angeles"/>
    <x v="1"/>
    <s v="AMC"/>
    <s v="Paid"/>
    <s v="-"/>
    <x v="0"/>
    <n v="2025"/>
    <s v="high"/>
  </r>
  <r>
    <n v="121"/>
    <x v="28"/>
    <s v="Entertainment"/>
    <s v="Sample expense 121"/>
    <s v="Card"/>
    <n v="1787.03"/>
    <s v="Movies"/>
    <s v="Houston"/>
    <x v="0"/>
    <s v="PlayStation Store"/>
    <s v="Paid"/>
    <s v="-"/>
    <x v="1"/>
    <n v="2026"/>
    <s v="normal"/>
  </r>
  <r>
    <n v="122"/>
    <x v="14"/>
    <s v="Medical"/>
    <s v="Sample expense 122"/>
    <s v="UPI"/>
    <n v="629.48"/>
    <s v="Doctor"/>
    <s v="New York"/>
    <x v="1"/>
    <s v="HealthCare Inc"/>
    <s v="Paid"/>
    <s v="-"/>
    <x v="4"/>
    <n v="2025"/>
    <s v="normal"/>
  </r>
  <r>
    <n v="123"/>
    <x v="85"/>
    <s v="Rent"/>
    <s v="Sample expense 123"/>
    <s v="Card"/>
    <n v="757.81"/>
    <s v="Apartment"/>
    <s v="New York"/>
    <x v="1"/>
    <s v="HomeStay"/>
    <s v="Paid"/>
    <s v="-"/>
    <x v="6"/>
    <n v="2025"/>
    <s v="normal"/>
  </r>
  <r>
    <n v="124"/>
    <x v="77"/>
    <s v="Travel"/>
    <s v="Sample expense 124"/>
    <s v="Cash"/>
    <n v="3819.48"/>
    <s v="Train"/>
    <s v="Chicago"/>
    <x v="1"/>
    <s v="Shell Fuel"/>
    <s v="Paid"/>
    <s v="-"/>
    <x v="6"/>
    <n v="2025"/>
    <s v="high"/>
  </r>
  <r>
    <n v="125"/>
    <x v="86"/>
    <s v="Entertainment"/>
    <s v="Sample expense 125"/>
    <s v="Card"/>
    <n v="3110.18"/>
    <s v="Concert"/>
    <s v="Phoenix"/>
    <x v="0"/>
    <s v="Spotify"/>
    <s v="Paid"/>
    <s v="-"/>
    <x v="4"/>
    <n v="2025"/>
    <s v="high"/>
  </r>
  <r>
    <n v="126"/>
    <x v="0"/>
    <s v="Utilities"/>
    <s v="Sample expense 126"/>
    <s v="Card"/>
    <n v="550.55999999999995"/>
    <s v="Electricity"/>
    <s v="Houston"/>
    <x v="1"/>
    <s v="ComEd"/>
    <s v="Paid"/>
    <s v="-"/>
    <x v="0"/>
    <n v="2025"/>
    <s v="normal"/>
  </r>
  <r>
    <n v="127"/>
    <x v="87"/>
    <s v="Rent"/>
    <s v="Sample expense 127"/>
    <s v="Card"/>
    <n v="466.33"/>
    <s v="Apartment"/>
    <s v="Miami"/>
    <x v="1"/>
    <s v="ABC Realty"/>
    <s v="Paid"/>
    <s v="-"/>
    <x v="3"/>
    <n v="2025"/>
    <s v="normal"/>
  </r>
  <r>
    <n v="128"/>
    <x v="88"/>
    <s v="Food"/>
    <s v="Sample expense 128"/>
    <s v="Card"/>
    <n v="3519.8"/>
    <s v="Beverages"/>
    <s v="Miami"/>
    <x v="1"/>
    <s v="Walmart"/>
    <s v="Paid"/>
    <s v="-"/>
    <x v="4"/>
    <n v="2025"/>
    <s v="high"/>
  </r>
  <r>
    <n v="129"/>
    <x v="3"/>
    <s v="Utilities"/>
    <s v="Sample expense 129"/>
    <s v="Cash"/>
    <n v="410.18"/>
    <s v="Internet"/>
    <s v="Los Angeles"/>
    <x v="1"/>
    <s v="ComEd"/>
    <s v="Pending"/>
    <s v="-"/>
    <x v="3"/>
    <n v="2025"/>
    <s v="normal"/>
  </r>
  <r>
    <n v="130"/>
    <x v="41"/>
    <s v="Utilities"/>
    <s v="Sample expense 130"/>
    <s v="Card"/>
    <n v="4118.21"/>
    <s v="Water"/>
    <s v="Houston"/>
    <x v="1"/>
    <s v="Verizon"/>
    <s v="Paid"/>
    <s v="-"/>
    <x v="2"/>
    <n v="2025"/>
    <s v="high"/>
  </r>
  <r>
    <n v="131"/>
    <x v="89"/>
    <s v="Food"/>
    <s v="Sample expense 131"/>
    <s v="Card"/>
    <n v="3545.9"/>
    <s v="Beverages"/>
    <s v="Miami"/>
    <x v="0"/>
    <s v="Domino's"/>
    <s v="Pending"/>
    <s v="-"/>
    <x v="5"/>
    <n v="2025"/>
    <s v="high"/>
  </r>
  <r>
    <n v="132"/>
    <x v="64"/>
    <s v="Rent"/>
    <s v="Sample expense 132"/>
    <s v="UPI"/>
    <n v="452.68"/>
    <s v="Apartment"/>
    <s v="Los Angeles"/>
    <x v="1"/>
    <s v="OfficeLease"/>
    <s v="Paid"/>
    <s v="-"/>
    <x v="0"/>
    <n v="2025"/>
    <s v="normal"/>
  </r>
  <r>
    <n v="133"/>
    <x v="90"/>
    <s v="Food"/>
    <s v="Sample expense 133"/>
    <s v="Card"/>
    <n v="469.95"/>
    <s v="Groceries"/>
    <s v="Phoenix"/>
    <x v="0"/>
    <s v="Starbucks"/>
    <s v="Paid"/>
    <s v="-"/>
    <x v="1"/>
    <n v="2026"/>
    <s v="normal"/>
  </r>
  <r>
    <n v="134"/>
    <x v="72"/>
    <s v="Medical"/>
    <s v="Sample expense 134"/>
    <s v="UPI"/>
    <n v="4933.87"/>
    <s v="Hospital"/>
    <s v="Los Angeles"/>
    <x v="1"/>
    <s v="CVS"/>
    <s v="Paid"/>
    <s v="-"/>
    <x v="5"/>
    <n v="2025"/>
    <s v="high"/>
  </r>
  <r>
    <n v="135"/>
    <x v="91"/>
    <s v="Utilities"/>
    <s v="Sample expense 135"/>
    <s v="Cash"/>
    <n v="1902.64"/>
    <s v="Electricity"/>
    <s v="Miami"/>
    <x v="1"/>
    <s v="Verizon"/>
    <s v="Paid"/>
    <s v="-"/>
    <x v="2"/>
    <n v="2025"/>
    <s v="normal"/>
  </r>
  <r>
    <n v="136"/>
    <x v="92"/>
    <s v="Shopping"/>
    <s v="Sample expense 136"/>
    <s v="Cash"/>
    <n v="1884.68"/>
    <s v="Electronics"/>
    <s v="Chicago"/>
    <x v="0"/>
    <s v="Best Buy"/>
    <s v="Paid"/>
    <s v="-"/>
    <x v="5"/>
    <n v="2025"/>
    <s v="normal"/>
  </r>
  <r>
    <n v="137"/>
    <x v="91"/>
    <s v="Shopping"/>
    <s v="Sample expense 137"/>
    <s v="Cash"/>
    <n v="4073.36"/>
    <s v="Home Decor"/>
    <s v="Chicago"/>
    <x v="1"/>
    <s v="Best Buy"/>
    <s v="Paid"/>
    <s v="-"/>
    <x v="2"/>
    <n v="2025"/>
    <s v="high"/>
  </r>
  <r>
    <n v="138"/>
    <x v="37"/>
    <s v="Travel"/>
    <s v="Sample expense 138"/>
    <s v="Cash"/>
    <n v="4738.88"/>
    <s v="Fuel"/>
    <s v="Chicago"/>
    <x v="1"/>
    <s v="Delta Airlines"/>
    <s v="Paid"/>
    <s v="-"/>
    <x v="4"/>
    <n v="2025"/>
    <s v="high"/>
  </r>
  <r>
    <n v="139"/>
    <x v="80"/>
    <s v="Entertainment"/>
    <s v="Sample expense 139"/>
    <s v="UPI"/>
    <n v="4930.71"/>
    <s v="Concert"/>
    <s v="Miami"/>
    <x v="1"/>
    <s v="Spotify"/>
    <s v="Paid"/>
    <s v="-"/>
    <x v="4"/>
    <n v="2025"/>
    <s v="high"/>
  </r>
  <r>
    <n v="140"/>
    <x v="93"/>
    <s v="Food"/>
    <s v="Sample expense 140"/>
    <s v="Card"/>
    <n v="3779.22"/>
    <s v="Groceries"/>
    <s v="Chicago"/>
    <x v="1"/>
    <s v="Starbucks"/>
    <s v="Paid"/>
    <s v="-"/>
    <x v="4"/>
    <n v="2025"/>
    <s v="high"/>
  </r>
  <r>
    <n v="141"/>
    <x v="94"/>
    <s v="Food"/>
    <s v="Sample expense 141"/>
    <s v="Cash"/>
    <n v="1912.48"/>
    <s v="Groceries"/>
    <s v="Houston"/>
    <x v="1"/>
    <s v="Domino's"/>
    <s v="Paid"/>
    <s v="-"/>
    <x v="1"/>
    <n v="2026"/>
    <s v="normal"/>
  </r>
  <r>
    <n v="142"/>
    <x v="95"/>
    <s v="Travel"/>
    <s v="Sample expense 142"/>
    <s v="Card"/>
    <n v="463.33"/>
    <s v="Fuel"/>
    <s v="Phoenix"/>
    <x v="1"/>
    <s v="Uber"/>
    <s v="Paid"/>
    <s v="-"/>
    <x v="3"/>
    <n v="2025"/>
    <s v="normal"/>
  </r>
  <r>
    <n v="143"/>
    <x v="96"/>
    <s v="Travel"/>
    <s v="Sample expense 143"/>
    <s v="UPI"/>
    <n v="3896.88"/>
    <s v="Flight"/>
    <s v="Los Angeles"/>
    <x v="1"/>
    <s v="Delta Airlines"/>
    <s v="Paid"/>
    <s v="-"/>
    <x v="3"/>
    <n v="2025"/>
    <s v="high"/>
  </r>
  <r>
    <n v="144"/>
    <x v="97"/>
    <s v="Travel"/>
    <s v="Sample expense 144"/>
    <s v="UPI"/>
    <n v="2814.1"/>
    <s v="Flight"/>
    <s v="Los Angeles"/>
    <x v="1"/>
    <s v="Delta Airlines"/>
    <s v="Pending"/>
    <s v="-"/>
    <x v="3"/>
    <n v="2025"/>
    <s v="normal"/>
  </r>
  <r>
    <n v="145"/>
    <x v="98"/>
    <s v="Utilities"/>
    <s v="Sample expense 145"/>
    <s v="UPI"/>
    <n v="2149.9"/>
    <s v="Internet"/>
    <s v="Miami"/>
    <x v="0"/>
    <s v="Verizon"/>
    <s v="Pending"/>
    <s v="-"/>
    <x v="4"/>
    <n v="2025"/>
    <s v="normal"/>
  </r>
  <r>
    <n v="146"/>
    <x v="69"/>
    <s v="Medical"/>
    <s v="Sample expense 146"/>
    <s v="Cash"/>
    <n v="4536.45"/>
    <s v="Pharmacy"/>
    <s v="Chicago"/>
    <x v="1"/>
    <s v="HealthCare Inc"/>
    <s v="Paid"/>
    <s v="-"/>
    <x v="2"/>
    <n v="2025"/>
    <s v="high"/>
  </r>
  <r>
    <n v="147"/>
    <x v="99"/>
    <s v="Food"/>
    <s v="Sample expense 147"/>
    <s v="Card"/>
    <n v="600.42999999999995"/>
    <s v="Groceries"/>
    <s v="Chicago"/>
    <x v="1"/>
    <s v="Subway"/>
    <s v="Paid"/>
    <s v="-"/>
    <x v="2"/>
    <n v="2025"/>
    <s v="normal"/>
  </r>
  <r>
    <n v="148"/>
    <x v="78"/>
    <s v="Utilities"/>
    <s v="Sample expense 148"/>
    <s v="Card"/>
    <n v="2488.4899999999998"/>
    <s v="Water"/>
    <s v="New York"/>
    <x v="1"/>
    <s v="GasCo"/>
    <s v="Pending"/>
    <s v="-"/>
    <x v="3"/>
    <n v="2025"/>
    <s v="normal"/>
  </r>
  <r>
    <n v="149"/>
    <x v="100"/>
    <s v="Travel"/>
    <s v="Sample expense 149"/>
    <s v="Card"/>
    <n v="106.2"/>
    <s v="Taxi"/>
    <s v="Phoenix"/>
    <x v="1"/>
    <s v="Uber"/>
    <s v="Paid"/>
    <s v="-"/>
    <x v="5"/>
    <n v="2025"/>
    <s v="normal"/>
  </r>
  <r>
    <n v="150"/>
    <x v="27"/>
    <s v="Food"/>
    <s v="Sample expense 150"/>
    <s v="UPI"/>
    <n v="2369.87"/>
    <s v="Restaurant"/>
    <s v="Houston"/>
    <x v="1"/>
    <s v="Domino's"/>
    <s v="Paid"/>
    <s v="-"/>
    <x v="1"/>
    <n v="2026"/>
    <s v="normal"/>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n v="1"/>
    <d v="2025-11-04T00:00:00"/>
    <x v="0"/>
    <x v="0"/>
    <s v="Card"/>
    <n v="3986.17"/>
    <s v="Electronics"/>
    <s v="New York"/>
    <s v="Yes"/>
    <s v="Macy's"/>
    <x v="0"/>
    <s v="-"/>
    <s v="November"/>
    <n v="2025"/>
    <s v="high"/>
  </r>
  <r>
    <n v="2"/>
    <d v="2026-01-20T00:00:00"/>
    <x v="1"/>
    <x v="1"/>
    <s v="Card"/>
    <n v="1390.62"/>
    <s v="Health Insurance"/>
    <s v="Chicago"/>
    <s v="No"/>
    <s v="Walgreens"/>
    <x v="1"/>
    <s v="-"/>
    <s v="January"/>
    <n v="2026"/>
    <s v="normal"/>
  </r>
  <r>
    <n v="3"/>
    <d v="2025-10-25T00:00:00"/>
    <x v="2"/>
    <x v="2"/>
    <s v="UPI"/>
    <n v="2222.91"/>
    <s v="Beverages"/>
    <s v="Phoenix"/>
    <s v="No"/>
    <s v="Walmart"/>
    <x v="0"/>
    <s v="-"/>
    <s v="October"/>
    <n v="2025"/>
    <s v="normal"/>
  </r>
  <r>
    <n v="4"/>
    <d v="2025-08-08T00:00:00"/>
    <x v="0"/>
    <x v="3"/>
    <s v="Card"/>
    <n v="438.36"/>
    <s v="Accessories"/>
    <s v="Phoenix"/>
    <s v="No"/>
    <s v="Macy's"/>
    <x v="0"/>
    <s v="-"/>
    <s v="August"/>
    <n v="2025"/>
    <s v="normal"/>
  </r>
  <r>
    <n v="5"/>
    <d v="2025-11-08T00:00:00"/>
    <x v="1"/>
    <x v="4"/>
    <s v="Cash"/>
    <n v="175.49"/>
    <s v="Pharmacy"/>
    <s v="Houston"/>
    <s v="Yes"/>
    <s v="Walgreens"/>
    <x v="0"/>
    <s v="-"/>
    <s v="November"/>
    <n v="2025"/>
    <s v="normal"/>
  </r>
  <r>
    <n v="6"/>
    <d v="2025-10-04T00:00:00"/>
    <x v="3"/>
    <x v="5"/>
    <s v="UPI"/>
    <n v="4815.1099999999997"/>
    <s v="Internet"/>
    <s v="Miami"/>
    <s v="No"/>
    <s v="Verizon"/>
    <x v="0"/>
    <s v="-"/>
    <s v="October"/>
    <n v="2025"/>
    <s v="high"/>
  </r>
  <r>
    <n v="7"/>
    <d v="2025-08-14T00:00:00"/>
    <x v="3"/>
    <x v="6"/>
    <s v="Cash"/>
    <n v="4188.1000000000004"/>
    <s v="Electricity"/>
    <s v="New York"/>
    <s v="No"/>
    <s v="ComEd"/>
    <x v="0"/>
    <s v="-"/>
    <s v="August"/>
    <n v="2025"/>
    <s v="high"/>
  </r>
  <r>
    <n v="8"/>
    <d v="2025-11-04T00:00:00"/>
    <x v="3"/>
    <x v="7"/>
    <s v="Cash"/>
    <n v="3495.07"/>
    <s v="Internet"/>
    <s v="New York"/>
    <s v="No"/>
    <s v="ComEd"/>
    <x v="0"/>
    <s v="-"/>
    <s v="November"/>
    <n v="2025"/>
    <s v="high"/>
  </r>
  <r>
    <n v="9"/>
    <d v="2025-11-23T00:00:00"/>
    <x v="3"/>
    <x v="8"/>
    <s v="Card"/>
    <n v="2074.3200000000002"/>
    <s v="Electricity"/>
    <s v="Los Angeles"/>
    <s v="No"/>
    <s v="City Water"/>
    <x v="0"/>
    <s v="-"/>
    <s v="November"/>
    <n v="2025"/>
    <s v="normal"/>
  </r>
  <r>
    <n v="10"/>
    <d v="2025-10-07T00:00:00"/>
    <x v="3"/>
    <x v="9"/>
    <s v="Card"/>
    <n v="907.81"/>
    <s v="Internet"/>
    <s v="Houston"/>
    <s v="No"/>
    <s v="GasCo"/>
    <x v="0"/>
    <s v="-"/>
    <s v="October"/>
    <n v="2025"/>
    <s v="normal"/>
  </r>
  <r>
    <n v="11"/>
    <d v="2025-10-20T00:00:00"/>
    <x v="1"/>
    <x v="10"/>
    <s v="Card"/>
    <n v="824.36"/>
    <s v="Pharmacy"/>
    <s v="Los Angeles"/>
    <s v="Yes"/>
    <s v="City Hospital"/>
    <x v="0"/>
    <s v="-"/>
    <s v="October"/>
    <n v="2025"/>
    <s v="normal"/>
  </r>
  <r>
    <n v="12"/>
    <d v="2025-11-18T00:00:00"/>
    <x v="1"/>
    <x v="11"/>
    <s v="Card"/>
    <n v="1288.7"/>
    <s v="Health Insurance"/>
    <s v="Los Angeles"/>
    <s v="No"/>
    <s v="HealthCare Inc"/>
    <x v="0"/>
    <s v="-"/>
    <s v="November"/>
    <n v="2025"/>
    <s v="normal"/>
  </r>
  <r>
    <n v="13"/>
    <d v="2025-11-01T00:00:00"/>
    <x v="4"/>
    <x v="12"/>
    <s v="Card"/>
    <n v="2768.67"/>
    <s v="Taxi"/>
    <s v="Los Angeles"/>
    <s v="No"/>
    <s v="Shell Fuel"/>
    <x v="0"/>
    <s v="-"/>
    <s v="November"/>
    <n v="2025"/>
    <s v="normal"/>
  </r>
  <r>
    <n v="14"/>
    <d v="2025-11-05T00:00:00"/>
    <x v="5"/>
    <x v="13"/>
    <s v="UPI"/>
    <n v="3587.25"/>
    <s v="Storage"/>
    <s v="Miami"/>
    <s v="No"/>
    <s v="ABC Realty"/>
    <x v="0"/>
    <s v="-"/>
    <s v="November"/>
    <n v="2025"/>
    <s v="high"/>
  </r>
  <r>
    <n v="15"/>
    <d v="2025-12-23T00:00:00"/>
    <x v="6"/>
    <x v="14"/>
    <s v="Cash"/>
    <n v="3317.98"/>
    <s v="Subscription"/>
    <s v="Miami"/>
    <s v="No"/>
    <s v="PlayStation Store"/>
    <x v="0"/>
    <s v="-"/>
    <s v="December"/>
    <n v="2025"/>
    <s v="high"/>
  </r>
  <r>
    <n v="16"/>
    <d v="2025-12-02T00:00:00"/>
    <x v="3"/>
    <x v="15"/>
    <s v="Cash"/>
    <n v="1435.67"/>
    <s v="Electricity"/>
    <s v="Chicago"/>
    <s v="Yes"/>
    <s v="ComEd"/>
    <x v="0"/>
    <s v="-"/>
    <s v="December"/>
    <n v="2025"/>
    <s v="normal"/>
  </r>
  <r>
    <n v="17"/>
    <d v="2025-12-21T00:00:00"/>
    <x v="2"/>
    <x v="16"/>
    <s v="Cash"/>
    <n v="4776.58"/>
    <s v="Groceries"/>
    <s v="Chicago"/>
    <s v="No"/>
    <s v="Domino's"/>
    <x v="0"/>
    <s v="-"/>
    <s v="December"/>
    <n v="2025"/>
    <s v="high"/>
  </r>
  <r>
    <n v="18"/>
    <d v="2025-09-15T00:00:00"/>
    <x v="6"/>
    <x v="17"/>
    <s v="Cash"/>
    <n v="3702.59"/>
    <s v="Subscription"/>
    <s v="Los Angeles"/>
    <s v="No"/>
    <s v="AMC"/>
    <x v="0"/>
    <s v="-"/>
    <s v="September"/>
    <n v="2025"/>
    <s v="high"/>
  </r>
  <r>
    <n v="19"/>
    <d v="2025-07-26T00:00:00"/>
    <x v="1"/>
    <x v="18"/>
    <s v="Card"/>
    <n v="2794.05"/>
    <s v="Pharmacy"/>
    <s v="Houston"/>
    <s v="No"/>
    <s v="Walgreens"/>
    <x v="0"/>
    <s v="-"/>
    <s v="July"/>
    <n v="2025"/>
    <s v="normal"/>
  </r>
  <r>
    <n v="20"/>
    <d v="2025-10-20T00:00:00"/>
    <x v="2"/>
    <x v="19"/>
    <s v="Cash"/>
    <n v="3078.02"/>
    <s v="Restaurant"/>
    <s v="New York"/>
    <s v="No"/>
    <s v="Walmart"/>
    <x v="0"/>
    <s v="-"/>
    <s v="October"/>
    <n v="2025"/>
    <s v="high"/>
  </r>
  <r>
    <n v="21"/>
    <d v="2025-12-29T00:00:00"/>
    <x v="2"/>
    <x v="20"/>
    <s v="UPI"/>
    <n v="2127.02"/>
    <s v="Groceries"/>
    <s v="Miami"/>
    <s v="No"/>
    <s v="Domino's"/>
    <x v="0"/>
    <s v="-"/>
    <s v="December"/>
    <n v="2025"/>
    <s v="normal"/>
  </r>
  <r>
    <n v="22"/>
    <d v="2025-08-31T00:00:00"/>
    <x v="2"/>
    <x v="21"/>
    <s v="UPI"/>
    <n v="1276.27"/>
    <s v="Restaurant"/>
    <s v="Houston"/>
    <s v="No"/>
    <s v="Subway"/>
    <x v="0"/>
    <s v="-"/>
    <s v="August"/>
    <n v="2025"/>
    <s v="normal"/>
  </r>
  <r>
    <n v="23"/>
    <d v="2025-12-01T00:00:00"/>
    <x v="4"/>
    <x v="22"/>
    <s v="Cash"/>
    <n v="1812.06"/>
    <s v="Flight"/>
    <s v="Phoenix"/>
    <s v="No"/>
    <s v="Delta Airlines"/>
    <x v="0"/>
    <s v="-"/>
    <s v="December"/>
    <n v="2025"/>
    <s v="normal"/>
  </r>
  <r>
    <n v="24"/>
    <d v="2025-08-14T00:00:00"/>
    <x v="1"/>
    <x v="23"/>
    <s v="Cash"/>
    <n v="3801.34"/>
    <s v="Health Insurance"/>
    <s v="Miami"/>
    <s v="No"/>
    <s v="CVS"/>
    <x v="0"/>
    <s v="-"/>
    <s v="August"/>
    <n v="2025"/>
    <s v="high"/>
  </r>
  <r>
    <n v="25"/>
    <d v="2026-01-01T00:00:00"/>
    <x v="2"/>
    <x v="24"/>
    <s v="UPI"/>
    <n v="121.25"/>
    <s v="Groceries"/>
    <s v="Miami"/>
    <s v="Yes"/>
    <s v="Starbucks"/>
    <x v="0"/>
    <s v="-"/>
    <s v="January"/>
    <n v="2026"/>
    <s v="normal"/>
  </r>
  <r>
    <n v="26"/>
    <d v="2025-09-20T00:00:00"/>
    <x v="3"/>
    <x v="25"/>
    <s v="UPI"/>
    <n v="624.55999999999995"/>
    <s v="Gas"/>
    <s v="Chicago"/>
    <s v="Yes"/>
    <s v="City Water"/>
    <x v="0"/>
    <s v="-"/>
    <s v="September"/>
    <n v="2025"/>
    <s v="normal"/>
  </r>
  <r>
    <n v="27"/>
    <d v="2025-08-15T00:00:00"/>
    <x v="0"/>
    <x v="26"/>
    <s v="Card"/>
    <n v="277.70999999999998"/>
    <s v="Clothes"/>
    <s v="New York"/>
    <s v="No"/>
    <s v="Amazon"/>
    <x v="0"/>
    <s v="-"/>
    <s v="August"/>
    <n v="2025"/>
    <s v="normal"/>
  </r>
  <r>
    <n v="28"/>
    <d v="2025-10-21T00:00:00"/>
    <x v="2"/>
    <x v="27"/>
    <s v="UPI"/>
    <n v="251.61"/>
    <s v="Groceries"/>
    <s v="New York"/>
    <s v="Yes"/>
    <s v="Starbucks"/>
    <x v="0"/>
    <s v="-"/>
    <s v="October"/>
    <n v="2025"/>
    <s v="normal"/>
  </r>
  <r>
    <n v="29"/>
    <d v="2025-09-11T00:00:00"/>
    <x v="4"/>
    <x v="28"/>
    <s v="Card"/>
    <n v="4284.53"/>
    <s v="Fuel"/>
    <s v="Phoenix"/>
    <s v="Yes"/>
    <s v="Shell Fuel"/>
    <x v="0"/>
    <s v="-"/>
    <s v="September"/>
    <n v="2025"/>
    <s v="high"/>
  </r>
  <r>
    <n v="30"/>
    <d v="2025-09-21T00:00:00"/>
    <x v="6"/>
    <x v="29"/>
    <s v="Card"/>
    <n v="3533.11"/>
    <s v="Subscription"/>
    <s v="Phoenix"/>
    <s v="No"/>
    <s v="Netflix"/>
    <x v="0"/>
    <s v="-"/>
    <s v="September"/>
    <n v="2025"/>
    <s v="high"/>
  </r>
  <r>
    <n v="31"/>
    <d v="2026-01-10T00:00:00"/>
    <x v="1"/>
    <x v="30"/>
    <s v="Card"/>
    <n v="2397.16"/>
    <s v="Doctor"/>
    <s v="Miami"/>
    <s v="Yes"/>
    <s v="Walgreens"/>
    <x v="0"/>
    <s v="-"/>
    <s v="January"/>
    <n v="2026"/>
    <s v="normal"/>
  </r>
  <r>
    <n v="32"/>
    <d v="2025-08-08T00:00:00"/>
    <x v="4"/>
    <x v="31"/>
    <s v="Card"/>
    <n v="534.28"/>
    <s v="Fuel"/>
    <s v="Los Angeles"/>
    <s v="No"/>
    <s v="Greyhound"/>
    <x v="0"/>
    <s v="-"/>
    <s v="August"/>
    <n v="2025"/>
    <s v="normal"/>
  </r>
  <r>
    <n v="33"/>
    <d v="2026-01-15T00:00:00"/>
    <x v="2"/>
    <x v="32"/>
    <s v="Card"/>
    <n v="2483.5"/>
    <s v="Snacks"/>
    <s v="Chicago"/>
    <s v="Yes"/>
    <s v="Subway"/>
    <x v="0"/>
    <s v="-"/>
    <s v="January"/>
    <n v="2026"/>
    <s v="normal"/>
  </r>
  <r>
    <n v="34"/>
    <d v="2025-09-13T00:00:00"/>
    <x v="1"/>
    <x v="33"/>
    <s v="Cash"/>
    <n v="2393.69"/>
    <s v="Health Insurance"/>
    <s v="Chicago"/>
    <s v="No"/>
    <s v="CVS"/>
    <x v="0"/>
    <s v="-"/>
    <s v="September"/>
    <n v="2025"/>
    <s v="normal"/>
  </r>
  <r>
    <n v="35"/>
    <d v="2025-11-09T00:00:00"/>
    <x v="0"/>
    <x v="34"/>
    <s v="UPI"/>
    <n v="907.35"/>
    <s v="Clothes"/>
    <s v="Miami"/>
    <s v="No"/>
    <s v="Target"/>
    <x v="0"/>
    <s v="-"/>
    <s v="November"/>
    <n v="2025"/>
    <s v="normal"/>
  </r>
  <r>
    <n v="36"/>
    <d v="2025-09-17T00:00:00"/>
    <x v="2"/>
    <x v="35"/>
    <s v="Card"/>
    <n v="2197.5700000000002"/>
    <s v="Beverages"/>
    <s v="Houston"/>
    <s v="No"/>
    <s v="Walmart"/>
    <x v="0"/>
    <s v="-"/>
    <s v="September"/>
    <n v="2025"/>
    <s v="normal"/>
  </r>
  <r>
    <n v="37"/>
    <d v="2025-09-26T00:00:00"/>
    <x v="4"/>
    <x v="36"/>
    <s v="UPI"/>
    <n v="2022.6"/>
    <s v="Train"/>
    <s v="Los Angeles"/>
    <s v="Yes"/>
    <s v="Uber"/>
    <x v="0"/>
    <s v="-"/>
    <s v="September"/>
    <n v="2025"/>
    <s v="normal"/>
  </r>
  <r>
    <n v="38"/>
    <d v="2025-12-02T00:00:00"/>
    <x v="5"/>
    <x v="37"/>
    <s v="UPI"/>
    <n v="3098.46"/>
    <s v="Storage"/>
    <s v="Miami"/>
    <s v="No"/>
    <s v="HomeStay"/>
    <x v="0"/>
    <s v="-"/>
    <s v="December"/>
    <n v="2025"/>
    <s v="high"/>
  </r>
  <r>
    <n v="39"/>
    <d v="2025-09-13T00:00:00"/>
    <x v="3"/>
    <x v="38"/>
    <s v="Card"/>
    <n v="3193.71"/>
    <s v="Gas"/>
    <s v="Los Angeles"/>
    <s v="No"/>
    <s v="Verizon"/>
    <x v="0"/>
    <s v="-"/>
    <s v="September"/>
    <n v="2025"/>
    <s v="high"/>
  </r>
  <r>
    <n v="40"/>
    <d v="2025-12-06T00:00:00"/>
    <x v="6"/>
    <x v="39"/>
    <s v="Cash"/>
    <n v="274.25"/>
    <s v="Movies"/>
    <s v="Los Angeles"/>
    <s v="No"/>
    <s v="PlayStation Store"/>
    <x v="0"/>
    <s v="-"/>
    <s v="December"/>
    <n v="2025"/>
    <s v="normal"/>
  </r>
  <r>
    <n v="41"/>
    <d v="2025-08-14T00:00:00"/>
    <x v="4"/>
    <x v="40"/>
    <s v="Card"/>
    <n v="1904.33"/>
    <s v="Flight"/>
    <s v="Los Angeles"/>
    <s v="No"/>
    <s v="Delta Airlines"/>
    <x v="0"/>
    <s v="-"/>
    <s v="August"/>
    <n v="2025"/>
    <s v="normal"/>
  </r>
  <r>
    <n v="42"/>
    <d v="2025-10-05T00:00:00"/>
    <x v="1"/>
    <x v="41"/>
    <s v="Cash"/>
    <n v="3148.01"/>
    <s v="Hospital"/>
    <s v="Miami"/>
    <s v="No"/>
    <s v="HealthCare Inc"/>
    <x v="0"/>
    <s v="-"/>
    <s v="October"/>
    <n v="2025"/>
    <s v="high"/>
  </r>
  <r>
    <n v="43"/>
    <d v="2026-01-07T00:00:00"/>
    <x v="2"/>
    <x v="42"/>
    <s v="UPI"/>
    <n v="2540.52"/>
    <s v="Groceries"/>
    <s v="Chicago"/>
    <s v="Yes"/>
    <s v="Walmart"/>
    <x v="0"/>
    <s v="-"/>
    <s v="January"/>
    <n v="2026"/>
    <s v="normal"/>
  </r>
  <r>
    <n v="44"/>
    <d v="2025-08-11T00:00:00"/>
    <x v="3"/>
    <x v="43"/>
    <s v="Cash"/>
    <n v="4289.62"/>
    <s v="Electricity"/>
    <s v="Chicago"/>
    <s v="No"/>
    <s v="ComEd"/>
    <x v="0"/>
    <s v="-"/>
    <s v="August"/>
    <n v="2025"/>
    <s v="high"/>
  </r>
  <r>
    <n v="45"/>
    <d v="2025-12-03T00:00:00"/>
    <x v="2"/>
    <x v="44"/>
    <s v="Cash"/>
    <n v="3310.53"/>
    <s v="Restaurant"/>
    <s v="Los Angeles"/>
    <s v="No"/>
    <s v="Subway"/>
    <x v="0"/>
    <s v="-"/>
    <s v="December"/>
    <n v="2025"/>
    <s v="high"/>
  </r>
  <r>
    <n v="46"/>
    <d v="2025-10-21T00:00:00"/>
    <x v="1"/>
    <x v="45"/>
    <s v="Cash"/>
    <n v="856.53"/>
    <s v="Hospital"/>
    <s v="Houston"/>
    <s v="No"/>
    <s v="Walgreens"/>
    <x v="0"/>
    <s v="-"/>
    <s v="October"/>
    <n v="2025"/>
    <s v="normal"/>
  </r>
  <r>
    <n v="47"/>
    <d v="2025-09-22T00:00:00"/>
    <x v="2"/>
    <x v="46"/>
    <s v="UPI"/>
    <n v="399.32"/>
    <s v="Snacks"/>
    <s v="New York"/>
    <s v="No"/>
    <s v="Subway"/>
    <x v="0"/>
    <s v="-"/>
    <s v="September"/>
    <n v="2025"/>
    <s v="normal"/>
  </r>
  <r>
    <n v="48"/>
    <d v="2025-08-07T00:00:00"/>
    <x v="5"/>
    <x v="47"/>
    <s v="UPI"/>
    <n v="3229.98"/>
    <s v="Apartment"/>
    <s v="Miami"/>
    <s v="No"/>
    <s v="OfficeLease"/>
    <x v="0"/>
    <s v="-"/>
    <s v="August"/>
    <n v="2025"/>
    <s v="high"/>
  </r>
  <r>
    <n v="49"/>
    <d v="2025-08-02T00:00:00"/>
    <x v="3"/>
    <x v="48"/>
    <s v="Cash"/>
    <n v="181.23"/>
    <s v="Electricity"/>
    <s v="New York"/>
    <s v="No"/>
    <s v="GasCo"/>
    <x v="0"/>
    <s v="-"/>
    <s v="August"/>
    <n v="2025"/>
    <s v="normal"/>
  </r>
  <r>
    <n v="50"/>
    <d v="2025-10-22T00:00:00"/>
    <x v="3"/>
    <x v="49"/>
    <s v="Cash"/>
    <n v="2949.59"/>
    <s v="Water"/>
    <s v="Houston"/>
    <s v="Yes"/>
    <s v="City Water"/>
    <x v="1"/>
    <s v="-"/>
    <s v="October"/>
    <n v="2025"/>
    <s v="normal"/>
  </r>
  <r>
    <n v="51"/>
    <d v="2025-09-15T00:00:00"/>
    <x v="1"/>
    <x v="50"/>
    <s v="Card"/>
    <n v="4704.1400000000003"/>
    <s v="Doctor"/>
    <s v="Miami"/>
    <s v="No"/>
    <s v="CVS"/>
    <x v="0"/>
    <s v="-"/>
    <s v="September"/>
    <n v="2025"/>
    <s v="high"/>
  </r>
  <r>
    <n v="52"/>
    <d v="2025-12-01T00:00:00"/>
    <x v="6"/>
    <x v="51"/>
    <s v="Cash"/>
    <n v="2898.6"/>
    <s v="Concert"/>
    <s v="Los Angeles"/>
    <s v="No"/>
    <s v="AMC"/>
    <x v="0"/>
    <s v="-"/>
    <s v="December"/>
    <n v="2025"/>
    <s v="normal"/>
  </r>
  <r>
    <n v="53"/>
    <d v="2025-10-16T00:00:00"/>
    <x v="5"/>
    <x v="52"/>
    <s v="Card"/>
    <n v="1971.44"/>
    <s v="Storage"/>
    <s v="Chicago"/>
    <s v="No"/>
    <s v="ABC Realty"/>
    <x v="0"/>
    <s v="-"/>
    <s v="October"/>
    <n v="2025"/>
    <s v="normal"/>
  </r>
  <r>
    <n v="54"/>
    <d v="2025-10-24T00:00:00"/>
    <x v="4"/>
    <x v="53"/>
    <s v="Cash"/>
    <n v="3234.28"/>
    <s v="Taxi"/>
    <s v="New York"/>
    <s v="No"/>
    <s v="Uber"/>
    <x v="0"/>
    <s v="-"/>
    <s v="October"/>
    <n v="2025"/>
    <s v="high"/>
  </r>
  <r>
    <n v="55"/>
    <d v="2025-11-12T00:00:00"/>
    <x v="2"/>
    <x v="54"/>
    <s v="Card"/>
    <n v="2318.35"/>
    <s v="Snacks"/>
    <s v="Phoenix"/>
    <s v="Yes"/>
    <s v="Walmart"/>
    <x v="0"/>
    <s v="-"/>
    <s v="November"/>
    <n v="2025"/>
    <s v="normal"/>
  </r>
  <r>
    <n v="56"/>
    <d v="2026-01-12T00:00:00"/>
    <x v="0"/>
    <x v="55"/>
    <s v="UPI"/>
    <n v="2750.8"/>
    <s v="Accessories"/>
    <s v="Phoenix"/>
    <s v="No"/>
    <s v="Target"/>
    <x v="0"/>
    <s v="-"/>
    <s v="January"/>
    <n v="2026"/>
    <s v="normal"/>
  </r>
  <r>
    <n v="57"/>
    <d v="2025-08-01T00:00:00"/>
    <x v="2"/>
    <x v="56"/>
    <s v="Cash"/>
    <n v="4710.25"/>
    <s v="Restaurant"/>
    <s v="Houston"/>
    <s v="No"/>
    <s v="Domino's"/>
    <x v="0"/>
    <s v="-"/>
    <s v="August"/>
    <n v="2025"/>
    <s v="high"/>
  </r>
  <r>
    <n v="58"/>
    <d v="2026-01-15T00:00:00"/>
    <x v="2"/>
    <x v="57"/>
    <s v="Cash"/>
    <n v="1961.21"/>
    <s v="Beverages"/>
    <s v="Los Angeles"/>
    <s v="No"/>
    <s v="Walmart"/>
    <x v="0"/>
    <s v="-"/>
    <s v="January"/>
    <n v="2026"/>
    <s v="normal"/>
  </r>
  <r>
    <n v="59"/>
    <d v="2025-08-28T00:00:00"/>
    <x v="4"/>
    <x v="58"/>
    <s v="Cash"/>
    <n v="4807.8900000000003"/>
    <s v="Bus"/>
    <s v="New York"/>
    <s v="Yes"/>
    <s v="Uber"/>
    <x v="0"/>
    <s v="-"/>
    <s v="August"/>
    <n v="2025"/>
    <s v="high"/>
  </r>
  <r>
    <n v="60"/>
    <d v="2025-10-13T00:00:00"/>
    <x v="2"/>
    <x v="59"/>
    <s v="Cash"/>
    <n v="4531.49"/>
    <s v="Beverages"/>
    <s v="Los Angeles"/>
    <s v="No"/>
    <s v="Starbucks"/>
    <x v="0"/>
    <s v="-"/>
    <s v="October"/>
    <n v="2025"/>
    <s v="high"/>
  </r>
  <r>
    <n v="61"/>
    <d v="2026-01-04T00:00:00"/>
    <x v="5"/>
    <x v="60"/>
    <s v="Card"/>
    <n v="1019.17"/>
    <s v="Apartment"/>
    <s v="New York"/>
    <s v="No"/>
    <s v="ABC Realty"/>
    <x v="0"/>
    <s v="-"/>
    <s v="January"/>
    <n v="2026"/>
    <s v="normal"/>
  </r>
  <r>
    <n v="62"/>
    <d v="2025-09-12T00:00:00"/>
    <x v="5"/>
    <x v="61"/>
    <s v="Cash"/>
    <n v="393.34"/>
    <s v="Office"/>
    <s v="Houston"/>
    <s v="Yes"/>
    <s v="OfficeLease"/>
    <x v="0"/>
    <s v="-"/>
    <s v="September"/>
    <n v="2025"/>
    <s v="normal"/>
  </r>
  <r>
    <n v="63"/>
    <d v="2025-11-05T00:00:00"/>
    <x v="3"/>
    <x v="62"/>
    <s v="UPI"/>
    <n v="548.85"/>
    <s v="Gas"/>
    <s v="Houston"/>
    <s v="No"/>
    <s v="City Water"/>
    <x v="0"/>
    <s v="-"/>
    <s v="November"/>
    <n v="2025"/>
    <s v="normal"/>
  </r>
  <r>
    <n v="64"/>
    <d v="2025-12-03T00:00:00"/>
    <x v="1"/>
    <x v="63"/>
    <s v="UPI"/>
    <n v="140.19999999999999"/>
    <s v="Health Insurance"/>
    <s v="Phoenix"/>
    <s v="Yes"/>
    <s v="City Hospital"/>
    <x v="0"/>
    <s v="-"/>
    <s v="December"/>
    <n v="2025"/>
    <s v="normal"/>
  </r>
  <r>
    <n v="65"/>
    <d v="2025-07-26T00:00:00"/>
    <x v="6"/>
    <x v="64"/>
    <s v="Cash"/>
    <n v="517.49"/>
    <s v="Games"/>
    <s v="Los Angeles"/>
    <s v="Yes"/>
    <s v="Netflix"/>
    <x v="1"/>
    <s v="-"/>
    <s v="July"/>
    <n v="2025"/>
    <s v="normal"/>
  </r>
  <r>
    <n v="66"/>
    <d v="2025-12-05T00:00:00"/>
    <x v="0"/>
    <x v="65"/>
    <s v="UPI"/>
    <n v="3430.88"/>
    <s v="Accessories"/>
    <s v="Miami"/>
    <s v="No"/>
    <s v="Target"/>
    <x v="0"/>
    <s v="-"/>
    <s v="December"/>
    <n v="2025"/>
    <s v="high"/>
  </r>
  <r>
    <n v="67"/>
    <d v="2025-09-16T00:00:00"/>
    <x v="2"/>
    <x v="66"/>
    <s v="Cash"/>
    <n v="402.38"/>
    <s v="Restaurant"/>
    <s v="Phoenix"/>
    <s v="No"/>
    <s v="Subway"/>
    <x v="0"/>
    <s v="-"/>
    <s v="September"/>
    <n v="2025"/>
    <s v="normal"/>
  </r>
  <r>
    <n v="68"/>
    <d v="2025-11-07T00:00:00"/>
    <x v="2"/>
    <x v="67"/>
    <s v="Cash"/>
    <n v="1628.93"/>
    <s v="Beverages"/>
    <s v="Los Angeles"/>
    <s v="No"/>
    <s v="Starbucks"/>
    <x v="0"/>
    <s v="-"/>
    <s v="November"/>
    <n v="2025"/>
    <s v="normal"/>
  </r>
  <r>
    <n v="69"/>
    <d v="2025-07-28T00:00:00"/>
    <x v="4"/>
    <x v="68"/>
    <s v="UPI"/>
    <n v="4232.13"/>
    <s v="Flight"/>
    <s v="Phoenix"/>
    <s v="No"/>
    <s v="Delta Airlines"/>
    <x v="0"/>
    <s v="-"/>
    <s v="July"/>
    <n v="2025"/>
    <s v="high"/>
  </r>
  <r>
    <n v="70"/>
    <d v="2025-09-16T00:00:00"/>
    <x v="1"/>
    <x v="69"/>
    <s v="Cash"/>
    <n v="165.2"/>
    <s v="Health Insurance"/>
    <s v="Miami"/>
    <s v="No"/>
    <s v="HealthCare Inc"/>
    <x v="1"/>
    <s v="-"/>
    <s v="September"/>
    <n v="2025"/>
    <s v="normal"/>
  </r>
  <r>
    <n v="71"/>
    <d v="2025-12-17T00:00:00"/>
    <x v="5"/>
    <x v="70"/>
    <s v="UPI"/>
    <n v="4081.62"/>
    <s v="Apartment"/>
    <s v="Chicago"/>
    <s v="No"/>
    <s v="HomeStay"/>
    <x v="0"/>
    <s v="-"/>
    <s v="December"/>
    <n v="2025"/>
    <s v="high"/>
  </r>
  <r>
    <n v="72"/>
    <d v="2025-09-06T00:00:00"/>
    <x v="0"/>
    <x v="71"/>
    <s v="Card"/>
    <n v="1445.18"/>
    <s v="Clothes"/>
    <s v="Chicago"/>
    <s v="No"/>
    <s v="Best Buy"/>
    <x v="0"/>
    <s v="-"/>
    <s v="September"/>
    <n v="2025"/>
    <s v="normal"/>
  </r>
  <r>
    <n v="73"/>
    <d v="2026-01-02T00:00:00"/>
    <x v="3"/>
    <x v="72"/>
    <s v="Cash"/>
    <n v="634.91999999999996"/>
    <s v="Gas"/>
    <s v="Chicago"/>
    <s v="No"/>
    <s v="Verizon"/>
    <x v="0"/>
    <s v="-"/>
    <s v="January"/>
    <n v="2026"/>
    <s v="normal"/>
  </r>
  <r>
    <n v="74"/>
    <d v="2025-08-07T00:00:00"/>
    <x v="5"/>
    <x v="73"/>
    <s v="Card"/>
    <n v="3498.85"/>
    <s v="Storage"/>
    <s v="Chicago"/>
    <s v="No"/>
    <s v="OfficeLease"/>
    <x v="0"/>
    <s v="-"/>
    <s v="August"/>
    <n v="2025"/>
    <s v="high"/>
  </r>
  <r>
    <n v="75"/>
    <d v="2025-10-27T00:00:00"/>
    <x v="1"/>
    <x v="74"/>
    <s v="UPI"/>
    <n v="3163.27"/>
    <s v="Doctor"/>
    <s v="New York"/>
    <s v="No"/>
    <s v="CVS"/>
    <x v="0"/>
    <s v="-"/>
    <s v="October"/>
    <n v="2025"/>
    <s v="high"/>
  </r>
  <r>
    <n v="76"/>
    <d v="2025-09-10T00:00:00"/>
    <x v="6"/>
    <x v="75"/>
    <s v="Card"/>
    <n v="4393.49"/>
    <s v="Concert"/>
    <s v="Chicago"/>
    <s v="No"/>
    <s v="PlayStation Store"/>
    <x v="0"/>
    <s v="-"/>
    <s v="September"/>
    <n v="2025"/>
    <s v="high"/>
  </r>
  <r>
    <n v="77"/>
    <d v="2025-08-08T00:00:00"/>
    <x v="3"/>
    <x v="76"/>
    <s v="Card"/>
    <n v="3688.6"/>
    <s v="Electricity"/>
    <s v="Miami"/>
    <s v="No"/>
    <s v="City Water"/>
    <x v="0"/>
    <s v="-"/>
    <s v="August"/>
    <n v="2025"/>
    <s v="high"/>
  </r>
  <r>
    <n v="78"/>
    <d v="2025-09-02T00:00:00"/>
    <x v="6"/>
    <x v="77"/>
    <s v="UPI"/>
    <n v="4027.23"/>
    <s v="Movies"/>
    <s v="Houston"/>
    <s v="No"/>
    <s v="AMC"/>
    <x v="0"/>
    <s v="-"/>
    <s v="September"/>
    <n v="2025"/>
    <s v="high"/>
  </r>
  <r>
    <n v="79"/>
    <d v="2025-10-14T00:00:00"/>
    <x v="4"/>
    <x v="78"/>
    <s v="Card"/>
    <n v="1446.07"/>
    <s v="Taxi"/>
    <s v="Houston"/>
    <s v="Yes"/>
    <s v="Shell Fuel"/>
    <x v="0"/>
    <s v="-"/>
    <s v="October"/>
    <n v="2025"/>
    <s v="normal"/>
  </r>
  <r>
    <n v="80"/>
    <d v="2025-11-12T00:00:00"/>
    <x v="4"/>
    <x v="79"/>
    <s v="Card"/>
    <n v="928.33"/>
    <s v="Fuel"/>
    <s v="New York"/>
    <s v="No"/>
    <s v="Greyhound"/>
    <x v="1"/>
    <s v="-"/>
    <s v="November"/>
    <n v="2025"/>
    <s v="normal"/>
  </r>
  <r>
    <n v="81"/>
    <d v="2025-09-15T00:00:00"/>
    <x v="2"/>
    <x v="80"/>
    <s v="UPI"/>
    <n v="3765.54"/>
    <s v="Beverages"/>
    <s v="Chicago"/>
    <s v="No"/>
    <s v="Subway"/>
    <x v="0"/>
    <s v="-"/>
    <s v="September"/>
    <n v="2025"/>
    <s v="high"/>
  </r>
  <r>
    <n v="82"/>
    <d v="2025-08-17T00:00:00"/>
    <x v="6"/>
    <x v="81"/>
    <s v="Card"/>
    <n v="4043.83"/>
    <s v="Movies"/>
    <s v="Chicago"/>
    <s v="Yes"/>
    <s v="Spotify"/>
    <x v="0"/>
    <s v="-"/>
    <s v="August"/>
    <n v="2025"/>
    <s v="high"/>
  </r>
  <r>
    <n v="83"/>
    <d v="2025-12-25T00:00:00"/>
    <x v="1"/>
    <x v="82"/>
    <s v="UPI"/>
    <n v="4953"/>
    <s v="Health Insurance"/>
    <s v="Chicago"/>
    <s v="Yes"/>
    <s v="City Hospital"/>
    <x v="0"/>
    <s v="-"/>
    <s v="December"/>
    <n v="2025"/>
    <s v="high"/>
  </r>
  <r>
    <n v="84"/>
    <d v="2025-11-25T00:00:00"/>
    <x v="0"/>
    <x v="83"/>
    <s v="Card"/>
    <n v="2092.46"/>
    <s v="Accessories"/>
    <s v="Phoenix"/>
    <s v="No"/>
    <s v="Amazon"/>
    <x v="0"/>
    <s v="-"/>
    <s v="November"/>
    <n v="2025"/>
    <s v="normal"/>
  </r>
  <r>
    <n v="85"/>
    <d v="2025-09-03T00:00:00"/>
    <x v="3"/>
    <x v="84"/>
    <s v="UPI"/>
    <n v="1891.49"/>
    <s v="Electricity"/>
    <s v="Los Angeles"/>
    <s v="No"/>
    <s v="City Water"/>
    <x v="0"/>
    <s v="-"/>
    <s v="September"/>
    <n v="2025"/>
    <s v="normal"/>
  </r>
  <r>
    <n v="86"/>
    <d v="2025-12-28T00:00:00"/>
    <x v="5"/>
    <x v="85"/>
    <s v="UPI"/>
    <n v="3893.24"/>
    <s v="Apartment"/>
    <s v="Phoenix"/>
    <s v="No"/>
    <s v="HomeStay"/>
    <x v="1"/>
    <s v="-"/>
    <s v="December"/>
    <n v="2025"/>
    <s v="high"/>
  </r>
  <r>
    <n v="87"/>
    <d v="2025-08-08T00:00:00"/>
    <x v="1"/>
    <x v="86"/>
    <s v="Card"/>
    <n v="1736.98"/>
    <s v="Doctor"/>
    <s v="Los Angeles"/>
    <s v="Yes"/>
    <s v="CVS"/>
    <x v="0"/>
    <s v="-"/>
    <s v="August"/>
    <n v="2025"/>
    <s v="normal"/>
  </r>
  <r>
    <n v="88"/>
    <d v="2025-09-07T00:00:00"/>
    <x v="1"/>
    <x v="87"/>
    <s v="Card"/>
    <n v="4657.25"/>
    <s v="Hospital"/>
    <s v="Chicago"/>
    <s v="No"/>
    <s v="City Hospital"/>
    <x v="0"/>
    <s v="-"/>
    <s v="September"/>
    <n v="2025"/>
    <s v="high"/>
  </r>
  <r>
    <n v="89"/>
    <d v="2025-09-27T00:00:00"/>
    <x v="4"/>
    <x v="88"/>
    <s v="Card"/>
    <n v="4299.1400000000003"/>
    <s v="Fuel"/>
    <s v="Chicago"/>
    <s v="No"/>
    <s v="Uber"/>
    <x v="0"/>
    <s v="-"/>
    <s v="September"/>
    <n v="2025"/>
    <s v="high"/>
  </r>
  <r>
    <n v="90"/>
    <d v="2025-10-21T00:00:00"/>
    <x v="6"/>
    <x v="89"/>
    <s v="Cash"/>
    <n v="2173.52"/>
    <s v="Games"/>
    <s v="Phoenix"/>
    <s v="Yes"/>
    <s v="Netflix"/>
    <x v="0"/>
    <s v="-"/>
    <s v="October"/>
    <n v="2025"/>
    <s v="normal"/>
  </r>
  <r>
    <n v="91"/>
    <d v="2025-10-03T00:00:00"/>
    <x v="2"/>
    <x v="90"/>
    <s v="Cash"/>
    <n v="3766.81"/>
    <s v="Restaurant"/>
    <s v="Phoenix"/>
    <s v="Yes"/>
    <s v="Walmart"/>
    <x v="0"/>
    <s v="-"/>
    <s v="October"/>
    <n v="2025"/>
    <s v="high"/>
  </r>
  <r>
    <n v="92"/>
    <d v="2025-08-02T00:00:00"/>
    <x v="2"/>
    <x v="91"/>
    <s v="Cash"/>
    <n v="3784.99"/>
    <s v="Snacks"/>
    <s v="Los Angeles"/>
    <s v="No"/>
    <s v="Subway"/>
    <x v="0"/>
    <s v="-"/>
    <s v="August"/>
    <n v="2025"/>
    <s v="high"/>
  </r>
  <r>
    <n v="93"/>
    <d v="2025-10-20T00:00:00"/>
    <x v="3"/>
    <x v="92"/>
    <s v="UPI"/>
    <n v="560.46"/>
    <s v="Gas"/>
    <s v="Houston"/>
    <s v="No"/>
    <s v="City Water"/>
    <x v="0"/>
    <s v="-"/>
    <s v="October"/>
    <n v="2025"/>
    <s v="normal"/>
  </r>
  <r>
    <n v="94"/>
    <d v="2025-11-30T00:00:00"/>
    <x v="4"/>
    <x v="93"/>
    <s v="Card"/>
    <n v="4517.6400000000003"/>
    <s v="Fuel"/>
    <s v="Los Angeles"/>
    <s v="No"/>
    <s v="Delta Airlines"/>
    <x v="0"/>
    <s v="-"/>
    <s v="November"/>
    <n v="2025"/>
    <s v="high"/>
  </r>
  <r>
    <n v="95"/>
    <d v="2025-12-07T00:00:00"/>
    <x v="1"/>
    <x v="94"/>
    <s v="UPI"/>
    <n v="2551"/>
    <s v="Hospital"/>
    <s v="Phoenix"/>
    <s v="No"/>
    <s v="Walgreens"/>
    <x v="0"/>
    <s v="-"/>
    <s v="December"/>
    <n v="2025"/>
    <s v="normal"/>
  </r>
  <r>
    <n v="96"/>
    <d v="2025-09-25T00:00:00"/>
    <x v="0"/>
    <x v="95"/>
    <s v="Cash"/>
    <n v="4140.96"/>
    <s v="Clothes"/>
    <s v="Miami"/>
    <s v="No"/>
    <s v="Macy's"/>
    <x v="0"/>
    <s v="-"/>
    <s v="September"/>
    <n v="2025"/>
    <s v="high"/>
  </r>
  <r>
    <n v="97"/>
    <d v="2025-12-10T00:00:00"/>
    <x v="4"/>
    <x v="96"/>
    <s v="Card"/>
    <n v="1634.25"/>
    <s v="Flight"/>
    <s v="Phoenix"/>
    <s v="No"/>
    <s v="Delta Airlines"/>
    <x v="0"/>
    <s v="-"/>
    <s v="December"/>
    <n v="2025"/>
    <s v="normal"/>
  </r>
  <r>
    <n v="98"/>
    <d v="2025-10-13T00:00:00"/>
    <x v="3"/>
    <x v="97"/>
    <s v="UPI"/>
    <n v="4482.84"/>
    <s v="Water"/>
    <s v="Miami"/>
    <s v="No"/>
    <s v="ComEd"/>
    <x v="0"/>
    <s v="-"/>
    <s v="October"/>
    <n v="2025"/>
    <s v="high"/>
  </r>
  <r>
    <n v="99"/>
    <d v="2025-12-07T00:00:00"/>
    <x v="3"/>
    <x v="98"/>
    <s v="Card"/>
    <n v="1976.55"/>
    <s v="Gas"/>
    <s v="New York"/>
    <s v="No"/>
    <s v="ComEd"/>
    <x v="0"/>
    <s v="-"/>
    <s v="December"/>
    <n v="2025"/>
    <s v="normal"/>
  </r>
  <r>
    <n v="100"/>
    <d v="2026-01-03T00:00:00"/>
    <x v="4"/>
    <x v="99"/>
    <s v="UPI"/>
    <n v="103.65"/>
    <s v="Flight"/>
    <s v="Phoenix"/>
    <s v="No"/>
    <s v="Greyhound"/>
    <x v="0"/>
    <s v="-"/>
    <s v="January"/>
    <n v="2026"/>
    <s v="normal"/>
  </r>
  <r>
    <n v="101"/>
    <d v="2026-01-03T00:00:00"/>
    <x v="3"/>
    <x v="100"/>
    <s v="Card"/>
    <n v="4531.6400000000003"/>
    <s v="Internet"/>
    <s v="New York"/>
    <s v="No"/>
    <s v="ComEd"/>
    <x v="0"/>
    <s v="-"/>
    <s v="January"/>
    <n v="2026"/>
    <s v="high"/>
  </r>
  <r>
    <n v="102"/>
    <d v="2025-08-26T00:00:00"/>
    <x v="4"/>
    <x v="101"/>
    <s v="Cash"/>
    <n v="501.87"/>
    <s v="Fuel"/>
    <s v="Houston"/>
    <s v="No"/>
    <s v="Shell Fuel"/>
    <x v="0"/>
    <s v="-"/>
    <s v="August"/>
    <n v="2025"/>
    <s v="normal"/>
  </r>
  <r>
    <n v="103"/>
    <d v="2025-11-24T00:00:00"/>
    <x v="5"/>
    <x v="102"/>
    <s v="Cash"/>
    <n v="1630.6"/>
    <s v="Apartment"/>
    <s v="Los Angeles"/>
    <s v="No"/>
    <s v="ABC Realty"/>
    <x v="0"/>
    <s v="-"/>
    <s v="November"/>
    <n v="2025"/>
    <s v="normal"/>
  </r>
  <r>
    <n v="104"/>
    <d v="2025-07-29T00:00:00"/>
    <x v="4"/>
    <x v="103"/>
    <s v="Card"/>
    <n v="4752.8100000000004"/>
    <s v="Taxi"/>
    <s v="Miami"/>
    <s v="No"/>
    <s v="Uber"/>
    <x v="1"/>
    <s v="-"/>
    <s v="July"/>
    <n v="2025"/>
    <s v="high"/>
  </r>
  <r>
    <n v="105"/>
    <d v="2025-09-03T00:00:00"/>
    <x v="6"/>
    <x v="104"/>
    <s v="UPI"/>
    <n v="4755.51"/>
    <s v="Games"/>
    <s v="Los Angeles"/>
    <s v="No"/>
    <s v="PlayStation Store"/>
    <x v="0"/>
    <s v="-"/>
    <s v="September"/>
    <n v="2025"/>
    <s v="high"/>
  </r>
  <r>
    <n v="106"/>
    <d v="2025-08-21T00:00:00"/>
    <x v="4"/>
    <x v="105"/>
    <s v="Cash"/>
    <n v="2888.52"/>
    <s v="Taxi"/>
    <s v="New York"/>
    <s v="No"/>
    <s v="Delta Airlines"/>
    <x v="0"/>
    <s v="-"/>
    <s v="August"/>
    <n v="2025"/>
    <s v="normal"/>
  </r>
  <r>
    <n v="107"/>
    <d v="2025-12-06T00:00:00"/>
    <x v="3"/>
    <x v="106"/>
    <s v="Cash"/>
    <n v="3177.59"/>
    <s v="Water"/>
    <s v="Miami"/>
    <s v="No"/>
    <s v="Verizon"/>
    <x v="0"/>
    <s v="-"/>
    <s v="December"/>
    <n v="2025"/>
    <s v="high"/>
  </r>
  <r>
    <n v="108"/>
    <d v="2025-10-04T00:00:00"/>
    <x v="6"/>
    <x v="107"/>
    <s v="Cash"/>
    <n v="2269.81"/>
    <s v="Subscription"/>
    <s v="Los Angeles"/>
    <s v="No"/>
    <s v="PlayStation Store"/>
    <x v="0"/>
    <s v="-"/>
    <s v="October"/>
    <n v="2025"/>
    <s v="normal"/>
  </r>
  <r>
    <n v="109"/>
    <d v="2025-08-05T00:00:00"/>
    <x v="3"/>
    <x v="108"/>
    <s v="Card"/>
    <n v="1501.39"/>
    <s v="Internet"/>
    <s v="Phoenix"/>
    <s v="No"/>
    <s v="City Water"/>
    <x v="0"/>
    <s v="-"/>
    <s v="August"/>
    <n v="2025"/>
    <s v="normal"/>
  </r>
  <r>
    <n v="110"/>
    <d v="2026-01-02T00:00:00"/>
    <x v="2"/>
    <x v="109"/>
    <s v="Card"/>
    <n v="1676.89"/>
    <s v="Groceries"/>
    <s v="Chicago"/>
    <s v="No"/>
    <s v="Walmart"/>
    <x v="0"/>
    <s v="-"/>
    <s v="January"/>
    <n v="2026"/>
    <s v="normal"/>
  </r>
  <r>
    <n v="111"/>
    <d v="2025-08-26T00:00:00"/>
    <x v="2"/>
    <x v="110"/>
    <s v="UPI"/>
    <n v="3378.97"/>
    <s v="Snacks"/>
    <s v="New York"/>
    <s v="Yes"/>
    <s v="Domino's"/>
    <x v="0"/>
    <s v="-"/>
    <s v="August"/>
    <n v="2025"/>
    <s v="high"/>
  </r>
  <r>
    <n v="112"/>
    <d v="2025-09-10T00:00:00"/>
    <x v="6"/>
    <x v="111"/>
    <s v="UPI"/>
    <n v="3774.25"/>
    <s v="Movies"/>
    <s v="Los Angeles"/>
    <s v="No"/>
    <s v="Netflix"/>
    <x v="0"/>
    <s v="-"/>
    <s v="September"/>
    <n v="2025"/>
    <s v="high"/>
  </r>
  <r>
    <n v="113"/>
    <d v="2025-12-22T00:00:00"/>
    <x v="5"/>
    <x v="112"/>
    <s v="UPI"/>
    <n v="3968.32"/>
    <s v="Office"/>
    <s v="New York"/>
    <s v="No"/>
    <s v="OfficeLease"/>
    <x v="0"/>
    <s v="-"/>
    <s v="December"/>
    <n v="2025"/>
    <s v="high"/>
  </r>
  <r>
    <n v="114"/>
    <d v="2025-09-24T00:00:00"/>
    <x v="2"/>
    <x v="113"/>
    <s v="Card"/>
    <n v="3958.61"/>
    <s v="Snacks"/>
    <s v="New York"/>
    <s v="No"/>
    <s v="Walmart"/>
    <x v="0"/>
    <s v="-"/>
    <s v="September"/>
    <n v="2025"/>
    <s v="high"/>
  </r>
  <r>
    <n v="115"/>
    <d v="2025-08-30T00:00:00"/>
    <x v="4"/>
    <x v="114"/>
    <s v="Card"/>
    <n v="501.47"/>
    <s v="Taxi"/>
    <s v="Miami"/>
    <s v="Yes"/>
    <s v="Shell Fuel"/>
    <x v="0"/>
    <s v="-"/>
    <s v="August"/>
    <n v="2025"/>
    <s v="normal"/>
  </r>
  <r>
    <n v="116"/>
    <d v="2025-10-31T00:00:00"/>
    <x v="3"/>
    <x v="115"/>
    <s v="UPI"/>
    <n v="2497.38"/>
    <s v="Water"/>
    <s v="Miami"/>
    <s v="No"/>
    <s v="ComEd"/>
    <x v="0"/>
    <s v="-"/>
    <s v="October"/>
    <n v="2025"/>
    <s v="normal"/>
  </r>
  <r>
    <n v="117"/>
    <d v="2026-01-12T00:00:00"/>
    <x v="2"/>
    <x v="116"/>
    <s v="UPI"/>
    <n v="334.92"/>
    <s v="Snacks"/>
    <s v="Chicago"/>
    <s v="No"/>
    <s v="Starbucks"/>
    <x v="0"/>
    <s v="-"/>
    <s v="January"/>
    <n v="2026"/>
    <s v="normal"/>
  </r>
  <r>
    <n v="118"/>
    <d v="2025-11-05T00:00:00"/>
    <x v="2"/>
    <x v="117"/>
    <s v="Card"/>
    <n v="2770.17"/>
    <s v="Snacks"/>
    <s v="Phoenix"/>
    <s v="No"/>
    <s v="Subway"/>
    <x v="0"/>
    <s v="-"/>
    <s v="November"/>
    <n v="2025"/>
    <s v="normal"/>
  </r>
  <r>
    <n v="119"/>
    <d v="2025-08-28T00:00:00"/>
    <x v="5"/>
    <x v="118"/>
    <s v="UPI"/>
    <n v="2235.58"/>
    <s v="Apartment"/>
    <s v="New York"/>
    <s v="No"/>
    <s v="OfficeLease"/>
    <x v="0"/>
    <s v="-"/>
    <s v="August"/>
    <n v="2025"/>
    <s v="normal"/>
  </r>
  <r>
    <n v="120"/>
    <d v="2025-11-02T00:00:00"/>
    <x v="6"/>
    <x v="119"/>
    <s v="Cash"/>
    <n v="4444.1400000000003"/>
    <s v="Movies"/>
    <s v="Los Angeles"/>
    <s v="No"/>
    <s v="AMC"/>
    <x v="0"/>
    <s v="-"/>
    <s v="November"/>
    <n v="2025"/>
    <s v="high"/>
  </r>
  <r>
    <n v="121"/>
    <d v="2026-01-15T00:00:00"/>
    <x v="6"/>
    <x v="120"/>
    <s v="Card"/>
    <n v="1787.03"/>
    <s v="Movies"/>
    <s v="Houston"/>
    <s v="Yes"/>
    <s v="PlayStation Store"/>
    <x v="0"/>
    <s v="-"/>
    <s v="January"/>
    <n v="2026"/>
    <s v="normal"/>
  </r>
  <r>
    <n v="122"/>
    <d v="2025-12-02T00:00:00"/>
    <x v="1"/>
    <x v="121"/>
    <s v="UPI"/>
    <n v="629.48"/>
    <s v="Doctor"/>
    <s v="New York"/>
    <s v="No"/>
    <s v="HealthCare Inc"/>
    <x v="0"/>
    <s v="-"/>
    <s v="December"/>
    <n v="2025"/>
    <s v="normal"/>
  </r>
  <r>
    <n v="123"/>
    <d v="2025-07-25T00:00:00"/>
    <x v="5"/>
    <x v="122"/>
    <s v="Card"/>
    <n v="757.81"/>
    <s v="Apartment"/>
    <s v="New York"/>
    <s v="No"/>
    <s v="HomeStay"/>
    <x v="0"/>
    <s v="-"/>
    <s v="July"/>
    <n v="2025"/>
    <s v="normal"/>
  </r>
  <r>
    <n v="124"/>
    <d v="2025-07-29T00:00:00"/>
    <x v="4"/>
    <x v="123"/>
    <s v="Cash"/>
    <n v="3819.48"/>
    <s v="Train"/>
    <s v="Chicago"/>
    <s v="No"/>
    <s v="Shell Fuel"/>
    <x v="0"/>
    <s v="-"/>
    <s v="July"/>
    <n v="2025"/>
    <s v="high"/>
  </r>
  <r>
    <n v="125"/>
    <d v="2025-12-13T00:00:00"/>
    <x v="6"/>
    <x v="124"/>
    <s v="Card"/>
    <n v="3110.18"/>
    <s v="Concert"/>
    <s v="Phoenix"/>
    <s v="Yes"/>
    <s v="Spotify"/>
    <x v="0"/>
    <s v="-"/>
    <s v="December"/>
    <n v="2025"/>
    <s v="high"/>
  </r>
  <r>
    <n v="126"/>
    <d v="2025-11-04T00:00:00"/>
    <x v="3"/>
    <x v="125"/>
    <s v="Card"/>
    <n v="550.55999999999995"/>
    <s v="Electricity"/>
    <s v="Houston"/>
    <s v="No"/>
    <s v="ComEd"/>
    <x v="0"/>
    <s v="-"/>
    <s v="November"/>
    <n v="2025"/>
    <s v="normal"/>
  </r>
  <r>
    <n v="127"/>
    <d v="2025-08-20T00:00:00"/>
    <x v="5"/>
    <x v="126"/>
    <s v="Card"/>
    <n v="466.33"/>
    <s v="Apartment"/>
    <s v="Miami"/>
    <s v="No"/>
    <s v="ABC Realty"/>
    <x v="0"/>
    <s v="-"/>
    <s v="August"/>
    <n v="2025"/>
    <s v="normal"/>
  </r>
  <r>
    <n v="128"/>
    <d v="2025-12-08T00:00:00"/>
    <x v="2"/>
    <x v="127"/>
    <s v="Card"/>
    <n v="3519.8"/>
    <s v="Beverages"/>
    <s v="Miami"/>
    <s v="No"/>
    <s v="Walmart"/>
    <x v="0"/>
    <s v="-"/>
    <s v="December"/>
    <n v="2025"/>
    <s v="high"/>
  </r>
  <r>
    <n v="129"/>
    <d v="2025-08-08T00:00:00"/>
    <x v="3"/>
    <x v="128"/>
    <s v="Cash"/>
    <n v="410.18"/>
    <s v="Internet"/>
    <s v="Los Angeles"/>
    <s v="No"/>
    <s v="ComEd"/>
    <x v="1"/>
    <s v="-"/>
    <s v="August"/>
    <n v="2025"/>
    <s v="normal"/>
  </r>
  <r>
    <n v="130"/>
    <d v="2025-10-22T00:00:00"/>
    <x v="3"/>
    <x v="129"/>
    <s v="Card"/>
    <n v="4118.21"/>
    <s v="Water"/>
    <s v="Houston"/>
    <s v="No"/>
    <s v="Verizon"/>
    <x v="0"/>
    <s v="-"/>
    <s v="October"/>
    <n v="2025"/>
    <s v="high"/>
  </r>
  <r>
    <n v="131"/>
    <d v="2025-09-04T00:00:00"/>
    <x v="2"/>
    <x v="130"/>
    <s v="Card"/>
    <n v="3545.9"/>
    <s v="Beverages"/>
    <s v="Miami"/>
    <s v="Yes"/>
    <s v="Domino's"/>
    <x v="1"/>
    <s v="-"/>
    <s v="September"/>
    <n v="2025"/>
    <s v="high"/>
  </r>
  <r>
    <n v="132"/>
    <d v="2025-11-25T00:00:00"/>
    <x v="5"/>
    <x v="131"/>
    <s v="UPI"/>
    <n v="452.68"/>
    <s v="Apartment"/>
    <s v="Los Angeles"/>
    <s v="No"/>
    <s v="OfficeLease"/>
    <x v="0"/>
    <s v="-"/>
    <s v="November"/>
    <n v="2025"/>
    <s v="normal"/>
  </r>
  <r>
    <n v="133"/>
    <d v="2026-01-19T00:00:00"/>
    <x v="2"/>
    <x v="132"/>
    <s v="Card"/>
    <n v="469.95"/>
    <s v="Groceries"/>
    <s v="Phoenix"/>
    <s v="Yes"/>
    <s v="Starbucks"/>
    <x v="0"/>
    <s v="-"/>
    <s v="January"/>
    <n v="2026"/>
    <s v="normal"/>
  </r>
  <r>
    <n v="134"/>
    <d v="2025-09-25T00:00:00"/>
    <x v="1"/>
    <x v="133"/>
    <s v="UPI"/>
    <n v="4933.87"/>
    <s v="Hospital"/>
    <s v="Los Angeles"/>
    <s v="No"/>
    <s v="CVS"/>
    <x v="0"/>
    <s v="-"/>
    <s v="September"/>
    <n v="2025"/>
    <s v="high"/>
  </r>
  <r>
    <n v="135"/>
    <d v="2025-10-28T00:00:00"/>
    <x v="3"/>
    <x v="134"/>
    <s v="Cash"/>
    <n v="1902.64"/>
    <s v="Electricity"/>
    <s v="Miami"/>
    <s v="No"/>
    <s v="Verizon"/>
    <x v="0"/>
    <s v="-"/>
    <s v="October"/>
    <n v="2025"/>
    <s v="normal"/>
  </r>
  <r>
    <n v="136"/>
    <d v="2025-09-14T00:00:00"/>
    <x v="0"/>
    <x v="135"/>
    <s v="Cash"/>
    <n v="1884.68"/>
    <s v="Electronics"/>
    <s v="Chicago"/>
    <s v="Yes"/>
    <s v="Best Buy"/>
    <x v="0"/>
    <s v="-"/>
    <s v="September"/>
    <n v="2025"/>
    <s v="normal"/>
  </r>
  <r>
    <n v="137"/>
    <d v="2025-10-28T00:00:00"/>
    <x v="0"/>
    <x v="136"/>
    <s v="Cash"/>
    <n v="4073.36"/>
    <s v="Home Decor"/>
    <s v="Chicago"/>
    <s v="No"/>
    <s v="Best Buy"/>
    <x v="0"/>
    <s v="-"/>
    <s v="October"/>
    <n v="2025"/>
    <s v="high"/>
  </r>
  <r>
    <n v="138"/>
    <d v="2025-12-03T00:00:00"/>
    <x v="4"/>
    <x v="137"/>
    <s v="Cash"/>
    <n v="4738.88"/>
    <s v="Fuel"/>
    <s v="Chicago"/>
    <s v="No"/>
    <s v="Delta Airlines"/>
    <x v="0"/>
    <s v="-"/>
    <s v="December"/>
    <n v="2025"/>
    <s v="high"/>
  </r>
  <r>
    <n v="139"/>
    <d v="2025-12-22T00:00:00"/>
    <x v="6"/>
    <x v="138"/>
    <s v="UPI"/>
    <n v="4930.71"/>
    <s v="Concert"/>
    <s v="Miami"/>
    <s v="No"/>
    <s v="Spotify"/>
    <x v="0"/>
    <s v="-"/>
    <s v="December"/>
    <n v="2025"/>
    <s v="high"/>
  </r>
  <r>
    <n v="140"/>
    <d v="2025-12-14T00:00:00"/>
    <x v="2"/>
    <x v="139"/>
    <s v="Card"/>
    <n v="3779.22"/>
    <s v="Groceries"/>
    <s v="Chicago"/>
    <s v="No"/>
    <s v="Starbucks"/>
    <x v="0"/>
    <s v="-"/>
    <s v="December"/>
    <n v="2025"/>
    <s v="high"/>
  </r>
  <r>
    <n v="141"/>
    <d v="2026-01-11T00:00:00"/>
    <x v="2"/>
    <x v="140"/>
    <s v="Cash"/>
    <n v="1912.48"/>
    <s v="Groceries"/>
    <s v="Houston"/>
    <s v="No"/>
    <s v="Domino's"/>
    <x v="0"/>
    <s v="-"/>
    <s v="January"/>
    <n v="2026"/>
    <s v="normal"/>
  </r>
  <r>
    <n v="142"/>
    <d v="2025-08-22T00:00:00"/>
    <x v="4"/>
    <x v="141"/>
    <s v="Card"/>
    <n v="463.33"/>
    <s v="Fuel"/>
    <s v="Phoenix"/>
    <s v="No"/>
    <s v="Uber"/>
    <x v="0"/>
    <s v="-"/>
    <s v="August"/>
    <n v="2025"/>
    <s v="normal"/>
  </r>
  <r>
    <n v="143"/>
    <d v="2025-08-29T00:00:00"/>
    <x v="4"/>
    <x v="142"/>
    <s v="UPI"/>
    <n v="3896.88"/>
    <s v="Flight"/>
    <s v="Los Angeles"/>
    <s v="No"/>
    <s v="Delta Airlines"/>
    <x v="0"/>
    <s v="-"/>
    <s v="August"/>
    <n v="2025"/>
    <s v="high"/>
  </r>
  <r>
    <n v="144"/>
    <d v="2025-08-06T00:00:00"/>
    <x v="4"/>
    <x v="143"/>
    <s v="UPI"/>
    <n v="2814.1"/>
    <s v="Flight"/>
    <s v="Los Angeles"/>
    <s v="No"/>
    <s v="Delta Airlines"/>
    <x v="1"/>
    <s v="-"/>
    <s v="August"/>
    <n v="2025"/>
    <s v="normal"/>
  </r>
  <r>
    <n v="145"/>
    <d v="2025-12-31T00:00:00"/>
    <x v="3"/>
    <x v="144"/>
    <s v="UPI"/>
    <n v="2149.9"/>
    <s v="Internet"/>
    <s v="Miami"/>
    <s v="Yes"/>
    <s v="Verizon"/>
    <x v="1"/>
    <s v="-"/>
    <s v="December"/>
    <n v="2025"/>
    <s v="normal"/>
  </r>
  <r>
    <n v="146"/>
    <d v="2025-10-03T00:00:00"/>
    <x v="1"/>
    <x v="145"/>
    <s v="Cash"/>
    <n v="4536.45"/>
    <s v="Pharmacy"/>
    <s v="Chicago"/>
    <s v="No"/>
    <s v="HealthCare Inc"/>
    <x v="0"/>
    <s v="-"/>
    <s v="October"/>
    <n v="2025"/>
    <s v="high"/>
  </r>
  <r>
    <n v="147"/>
    <d v="2025-10-18T00:00:00"/>
    <x v="2"/>
    <x v="146"/>
    <s v="Card"/>
    <n v="600.42999999999995"/>
    <s v="Groceries"/>
    <s v="Chicago"/>
    <s v="No"/>
    <s v="Subway"/>
    <x v="0"/>
    <s v="-"/>
    <s v="October"/>
    <n v="2025"/>
    <s v="normal"/>
  </r>
  <r>
    <n v="148"/>
    <d v="2025-08-21T00:00:00"/>
    <x v="3"/>
    <x v="147"/>
    <s v="Card"/>
    <n v="2488.4899999999998"/>
    <s v="Water"/>
    <s v="New York"/>
    <s v="No"/>
    <s v="GasCo"/>
    <x v="1"/>
    <s v="-"/>
    <s v="August"/>
    <n v="2025"/>
    <s v="normal"/>
  </r>
  <r>
    <n v="149"/>
    <d v="2025-09-28T00:00:00"/>
    <x v="4"/>
    <x v="148"/>
    <s v="Card"/>
    <n v="106.2"/>
    <s v="Taxi"/>
    <s v="Phoenix"/>
    <s v="No"/>
    <s v="Uber"/>
    <x v="0"/>
    <s v="-"/>
    <s v="September"/>
    <n v="2025"/>
    <s v="normal"/>
  </r>
  <r>
    <n v="150"/>
    <d v="2026-01-10T00:00:00"/>
    <x v="2"/>
    <x v="149"/>
    <s v="UPI"/>
    <n v="2369.87"/>
    <s v="Restaurant"/>
    <s v="Houston"/>
    <s v="No"/>
    <s v="Domino's"/>
    <x v="0"/>
    <s v="-"/>
    <s v="January"/>
    <n v="2026"/>
    <s v="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4349AD-E1CA-4A67-B1E7-AF3061FF7C9E}" name="top expens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3:H11" firstHeaderRow="1" firstDataRow="1" firstDataCol="1"/>
  <pivotFields count="15">
    <pivotField showAll="0"/>
    <pivotField numFmtId="14" showAll="0"/>
    <pivotField showAll="0">
      <items count="8">
        <item x="6"/>
        <item x="2"/>
        <item x="1"/>
        <item x="5"/>
        <item x="0"/>
        <item x="4"/>
        <item x="3"/>
        <item t="default"/>
      </items>
    </pivotField>
    <pivotField showAll="0"/>
    <pivotField showAll="0"/>
    <pivotField dataField="1" numFmtId="2" showAll="0">
      <items count="151">
        <item x="99"/>
        <item x="148"/>
        <item x="24"/>
        <item x="63"/>
        <item x="69"/>
        <item x="4"/>
        <item x="48"/>
        <item x="27"/>
        <item x="39"/>
        <item x="26"/>
        <item x="116"/>
        <item x="61"/>
        <item x="46"/>
        <item x="66"/>
        <item x="128"/>
        <item x="3"/>
        <item x="131"/>
        <item x="141"/>
        <item x="126"/>
        <item x="132"/>
        <item x="114"/>
        <item x="101"/>
        <item x="64"/>
        <item x="31"/>
        <item x="62"/>
        <item x="125"/>
        <item x="92"/>
        <item x="146"/>
        <item x="25"/>
        <item x="121"/>
        <item x="72"/>
        <item x="122"/>
        <item x="10"/>
        <item x="45"/>
        <item x="34"/>
        <item x="9"/>
        <item x="79"/>
        <item x="60"/>
        <item x="21"/>
        <item x="11"/>
        <item x="1"/>
        <item x="15"/>
        <item x="71"/>
        <item x="78"/>
        <item x="108"/>
        <item x="67"/>
        <item x="102"/>
        <item x="96"/>
        <item x="109"/>
        <item x="86"/>
        <item x="120"/>
        <item x="22"/>
        <item x="135"/>
        <item x="84"/>
        <item x="134"/>
        <item x="40"/>
        <item x="140"/>
        <item x="57"/>
        <item x="52"/>
        <item x="98"/>
        <item x="36"/>
        <item x="8"/>
        <item x="83"/>
        <item x="20"/>
        <item x="144"/>
        <item x="89"/>
        <item x="35"/>
        <item x="2"/>
        <item x="118"/>
        <item x="107"/>
        <item x="54"/>
        <item x="149"/>
        <item x="33"/>
        <item x="30"/>
        <item x="32"/>
        <item x="147"/>
        <item x="115"/>
        <item x="42"/>
        <item x="94"/>
        <item x="55"/>
        <item x="12"/>
        <item x="117"/>
        <item x="18"/>
        <item x="143"/>
        <item x="105"/>
        <item x="51"/>
        <item x="49"/>
        <item x="19"/>
        <item x="37"/>
        <item x="124"/>
        <item x="41"/>
        <item x="74"/>
        <item x="106"/>
        <item x="38"/>
        <item x="47"/>
        <item x="53"/>
        <item x="44"/>
        <item x="14"/>
        <item x="110"/>
        <item x="65"/>
        <item x="7"/>
        <item x="73"/>
        <item x="127"/>
        <item x="29"/>
        <item x="130"/>
        <item x="13"/>
        <item x="76"/>
        <item x="17"/>
        <item x="80"/>
        <item x="90"/>
        <item x="111"/>
        <item x="139"/>
        <item x="91"/>
        <item x="23"/>
        <item x="123"/>
        <item x="85"/>
        <item x="142"/>
        <item x="113"/>
        <item x="112"/>
        <item x="0"/>
        <item x="77"/>
        <item x="81"/>
        <item x="136"/>
        <item x="70"/>
        <item x="129"/>
        <item x="95"/>
        <item x="6"/>
        <item x="68"/>
        <item x="28"/>
        <item x="43"/>
        <item x="88"/>
        <item x="75"/>
        <item x="119"/>
        <item x="97"/>
        <item x="93"/>
        <item x="59"/>
        <item x="100"/>
        <item x="145"/>
        <item x="87"/>
        <item x="50"/>
        <item x="56"/>
        <item x="137"/>
        <item x="103"/>
        <item x="104"/>
        <item x="16"/>
        <item x="58"/>
        <item x="5"/>
        <item x="138"/>
        <item x="133"/>
        <item x="82"/>
        <item t="default"/>
      </items>
    </pivotField>
    <pivotField showAll="0">
      <items count="29">
        <item x="3"/>
        <item x="21"/>
        <item x="2"/>
        <item x="24"/>
        <item x="14"/>
        <item x="23"/>
        <item x="16"/>
        <item x="6"/>
        <item x="0"/>
        <item x="12"/>
        <item x="15"/>
        <item x="26"/>
        <item x="13"/>
        <item x="10"/>
        <item x="1"/>
        <item x="27"/>
        <item x="20"/>
        <item x="5"/>
        <item x="19"/>
        <item x="25"/>
        <item x="4"/>
        <item x="11"/>
        <item x="17"/>
        <item x="8"/>
        <item x="9"/>
        <item x="7"/>
        <item x="18"/>
        <item x="22"/>
        <item t="default"/>
      </items>
    </pivotField>
    <pivotField showAll="0"/>
    <pivotField showAll="0"/>
    <pivotField showAll="0"/>
    <pivotField showAll="0"/>
    <pivotField showAll="0"/>
    <pivotField axis="axisRow" showAll="0">
      <items count="8">
        <item x="1"/>
        <item x="6"/>
        <item x="3"/>
        <item x="5"/>
        <item x="2"/>
        <item x="0"/>
        <item x="4"/>
        <item t="default"/>
      </items>
    </pivotField>
    <pivotField showAll="0"/>
    <pivotField showAll="0"/>
  </pivotFields>
  <rowFields count="1">
    <field x="12"/>
  </rowFields>
  <rowItems count="8">
    <i>
      <x/>
    </i>
    <i>
      <x v="1"/>
    </i>
    <i>
      <x v="2"/>
    </i>
    <i>
      <x v="3"/>
    </i>
    <i>
      <x v="4"/>
    </i>
    <i>
      <x v="5"/>
    </i>
    <i>
      <x v="6"/>
    </i>
    <i t="grand">
      <x/>
    </i>
  </rowItems>
  <colItems count="1">
    <i/>
  </colItems>
  <dataFields count="1">
    <dataField name="Sum of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99880E-E915-47D4-AECD-493DF89E4010}" name="Payment mode analysi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3:E7" firstHeaderRow="1" firstDataRow="1" firstDataCol="1"/>
  <pivotFields count="15">
    <pivotField showAll="0"/>
    <pivotField numFmtId="14" showAll="0"/>
    <pivotField showAll="0"/>
    <pivotField showAll="0"/>
    <pivotField axis="axisRow" showAll="0">
      <items count="4">
        <item x="0"/>
        <item x="2"/>
        <item x="1"/>
        <item t="default"/>
      </items>
    </pivotField>
    <pivotField dataField="1" numFmtId="2" showAll="0"/>
    <pivotField showAll="0"/>
    <pivotField showAll="0"/>
    <pivotField showAll="0"/>
    <pivotField showAll="0"/>
    <pivotField showAll="0"/>
    <pivotField showAll="0"/>
    <pivotField showAll="0">
      <items count="8">
        <item x="1"/>
        <item x="6"/>
        <item x="3"/>
        <item x="5"/>
        <item x="2"/>
        <item x="0"/>
        <item x="4"/>
        <item t="default"/>
      </items>
    </pivotField>
    <pivotField showAll="0"/>
    <pivotField showAll="0"/>
  </pivotFields>
  <rowFields count="1">
    <field x="4"/>
  </rowFields>
  <rowItems count="4">
    <i>
      <x/>
    </i>
    <i>
      <x v="1"/>
    </i>
    <i>
      <x v="2"/>
    </i>
    <i t="grand">
      <x/>
    </i>
  </rowItems>
  <colItems count="1">
    <i/>
  </colItems>
  <dataFields count="1">
    <dataField name="Sum of Amount" fld="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4A6F4B-CF7A-47E9-BF7F-BE65CF67EB9B}" name="Monthly expense summa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1" firstHeaderRow="1" firstDataRow="1" firstDataCol="1"/>
  <pivotFields count="15">
    <pivotField showAll="0"/>
    <pivotField numFmtId="14" showAll="0"/>
    <pivotField showAll="0">
      <items count="8">
        <item x="6"/>
        <item x="2"/>
        <item x="1"/>
        <item x="5"/>
        <item x="0"/>
        <item x="4"/>
        <item x="3"/>
        <item t="default"/>
      </items>
    </pivotField>
    <pivotField showAll="0"/>
    <pivotField showAll="0">
      <items count="4">
        <item x="0"/>
        <item x="2"/>
        <item x="1"/>
        <item t="default"/>
      </items>
    </pivotField>
    <pivotField dataField="1" numFmtId="2" showAll="0"/>
    <pivotField showAll="0"/>
    <pivotField showAll="0"/>
    <pivotField showAll="0"/>
    <pivotField showAll="0"/>
    <pivotField showAll="0"/>
    <pivotField showAll="0"/>
    <pivotField axis="axisRow" showAll="0" sortType="ascending">
      <items count="8">
        <item x="1"/>
        <item x="6"/>
        <item x="3"/>
        <item x="5"/>
        <item x="2"/>
        <item x="0"/>
        <item x="4"/>
        <item t="default"/>
      </items>
    </pivotField>
    <pivotField showAll="0"/>
    <pivotField showAll="0"/>
  </pivotFields>
  <rowFields count="1">
    <field x="12"/>
  </rowFields>
  <rowItems count="8">
    <i>
      <x/>
    </i>
    <i>
      <x v="1"/>
    </i>
    <i>
      <x v="2"/>
    </i>
    <i>
      <x v="3"/>
    </i>
    <i>
      <x v="4"/>
    </i>
    <i>
      <x v="5"/>
    </i>
    <i>
      <x v="6"/>
    </i>
    <i t="grand">
      <x/>
    </i>
  </rowItems>
  <colItems count="1">
    <i/>
  </colItems>
  <dataFields count="1">
    <dataField name="Sum of Amount" fld="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206167-B0AA-49CF-8A71-24469CDD1B3B}"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R6:S11" firstHeaderRow="1" firstDataRow="1" firstDataCol="1"/>
  <pivotFields count="15">
    <pivotField showAll="0"/>
    <pivotField numFmtId="14" showAll="0"/>
    <pivotField showAll="0">
      <items count="8">
        <item x="6"/>
        <item h="1" x="2"/>
        <item h="1" x="1"/>
        <item h="1" x="5"/>
        <item h="1" x="0"/>
        <item h="1" x="4"/>
        <item h="1" x="3"/>
        <item t="default"/>
      </items>
    </pivotField>
    <pivotField showAll="0"/>
    <pivotField showAll="0"/>
    <pivotField dataField="1" numFmtId="2" showAll="0"/>
    <pivotField axis="axisRow" showAll="0">
      <items count="29">
        <item x="3"/>
        <item x="21"/>
        <item x="2"/>
        <item x="24"/>
        <item x="14"/>
        <item x="23"/>
        <item x="16"/>
        <item x="6"/>
        <item x="0"/>
        <item x="12"/>
        <item x="15"/>
        <item x="26"/>
        <item x="13"/>
        <item x="10"/>
        <item x="1"/>
        <item x="27"/>
        <item x="20"/>
        <item x="5"/>
        <item x="19"/>
        <item x="25"/>
        <item x="4"/>
        <item x="11"/>
        <item x="17"/>
        <item x="8"/>
        <item x="9"/>
        <item x="7"/>
        <item x="18"/>
        <item x="22"/>
        <item t="default"/>
      </items>
    </pivotField>
    <pivotField showAll="0"/>
    <pivotField showAll="0"/>
    <pivotField showAll="0"/>
    <pivotField showAll="0"/>
    <pivotField showAll="0">
      <items count="2">
        <item x="0"/>
        <item t="default"/>
      </items>
    </pivotField>
    <pivotField showAll="0">
      <items count="8">
        <item x="1"/>
        <item x="6"/>
        <item x="3"/>
        <item x="5"/>
        <item x="2"/>
        <item x="0"/>
        <item x="4"/>
        <item t="default"/>
      </items>
    </pivotField>
    <pivotField showAll="0"/>
    <pivotField showAll="0">
      <items count="3">
        <item x="0"/>
        <item x="1"/>
        <item t="default"/>
      </items>
    </pivotField>
  </pivotFields>
  <rowFields count="1">
    <field x="6"/>
  </rowFields>
  <rowItems count="5">
    <i>
      <x v="5"/>
    </i>
    <i>
      <x v="11"/>
    </i>
    <i>
      <x v="18"/>
    </i>
    <i>
      <x v="24"/>
    </i>
    <i t="grand">
      <x/>
    </i>
  </rowItems>
  <colItems count="1">
    <i/>
  </colItems>
  <dataFields count="1">
    <dataField name="Sum of Amount" fld="5" baseField="0" baseItem="0"/>
  </dataField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FABDBB-45E2-43C4-B383-1281F5A8439C}"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J3:K11" firstHeaderRow="1" firstDataRow="1" firstDataCol="1"/>
  <pivotFields count="15">
    <pivotField showAll="0"/>
    <pivotField numFmtId="14" showAll="0"/>
    <pivotField axis="axisRow" showAll="0" sortType="ascending">
      <items count="8">
        <item x="6"/>
        <item x="2"/>
        <item x="1"/>
        <item x="5"/>
        <item x="0"/>
        <item x="4"/>
        <item x="3"/>
        <item t="default"/>
      </items>
      <autoSortScope>
        <pivotArea dataOnly="0" outline="0" fieldPosition="0">
          <references count="1">
            <reference field="4294967294" count="1" selected="0">
              <x v="0"/>
            </reference>
          </references>
        </pivotArea>
      </autoSortScope>
    </pivotField>
    <pivotField showAll="0"/>
    <pivotField showAll="0"/>
    <pivotField dataField="1" numFmtId="2" showAll="0"/>
    <pivotField showAll="0"/>
    <pivotField showAll="0"/>
    <pivotField showAll="0"/>
    <pivotField showAll="0"/>
    <pivotField showAll="0"/>
    <pivotField showAll="0"/>
    <pivotField showAll="0">
      <items count="8">
        <item x="1"/>
        <item x="6"/>
        <item x="3"/>
        <item x="5"/>
        <item x="2"/>
        <item x="0"/>
        <item x="4"/>
        <item t="default"/>
      </items>
    </pivotField>
    <pivotField showAll="0"/>
    <pivotField showAll="0"/>
  </pivotFields>
  <rowFields count="1">
    <field x="2"/>
  </rowFields>
  <rowItems count="8">
    <i>
      <x v="4"/>
    </i>
    <i>
      <x v="3"/>
    </i>
    <i>
      <x v="2"/>
    </i>
    <i>
      <x/>
    </i>
    <i>
      <x v="5"/>
    </i>
    <i>
      <x v="6"/>
    </i>
    <i>
      <x v="1"/>
    </i>
    <i t="grand">
      <x/>
    </i>
  </rowItems>
  <colItems count="1">
    <i/>
  </colItems>
  <dataFields count="1">
    <dataField name="Sum of Amount" fld="5" baseField="0" baseItem="0"/>
  </dataFields>
  <chartFormats count="10">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2" count="1" selected="0">
            <x v="0"/>
          </reference>
        </references>
      </pivotArea>
    </chartFormat>
    <chartFormat chart="2" format="11">
      <pivotArea type="data" outline="0" fieldPosition="0">
        <references count="2">
          <reference field="4294967294" count="1" selected="0">
            <x v="0"/>
          </reference>
          <reference field="2" count="1" selected="0">
            <x v="1"/>
          </reference>
        </references>
      </pivotArea>
    </chartFormat>
    <chartFormat chart="2" format="12">
      <pivotArea type="data" outline="0" fieldPosition="0">
        <references count="2">
          <reference field="4294967294" count="1" selected="0">
            <x v="0"/>
          </reference>
          <reference field="2" count="1" selected="0">
            <x v="2"/>
          </reference>
        </references>
      </pivotArea>
    </chartFormat>
    <chartFormat chart="2" format="13">
      <pivotArea type="data" outline="0" fieldPosition="0">
        <references count="2">
          <reference field="4294967294" count="1" selected="0">
            <x v="0"/>
          </reference>
          <reference field="2" count="1" selected="0">
            <x v="3"/>
          </reference>
        </references>
      </pivotArea>
    </chartFormat>
    <chartFormat chart="2" format="14">
      <pivotArea type="data" outline="0" fieldPosition="0">
        <references count="2">
          <reference field="4294967294" count="1" selected="0">
            <x v="0"/>
          </reference>
          <reference field="2" count="1" selected="0">
            <x v="4"/>
          </reference>
        </references>
      </pivotArea>
    </chartFormat>
    <chartFormat chart="2" format="15">
      <pivotArea type="data" outline="0" fieldPosition="0">
        <references count="2">
          <reference field="4294967294" count="1" selected="0">
            <x v="0"/>
          </reference>
          <reference field="2" count="1" selected="0">
            <x v="5"/>
          </reference>
        </references>
      </pivotArea>
    </chartFormat>
    <chartFormat chart="2" format="16">
      <pivotArea type="data" outline="0" fieldPosition="0">
        <references count="2">
          <reference field="4294967294" count="1" selected="0">
            <x v="0"/>
          </reference>
          <reference field="2" count="1" selected="0">
            <x v="6"/>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CB724C-4241-4AE1-B75F-E1DA6325E2AE}" name="PivotTable1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15">
    <pivotField showAll="0"/>
    <pivotField numFmtId="14" showAll="0"/>
    <pivotField showAll="0"/>
    <pivotField showAll="0"/>
    <pivotField axis="axisRow" showAll="0">
      <items count="4">
        <item x="0"/>
        <item x="2"/>
        <item x="1"/>
        <item t="default"/>
      </items>
    </pivotField>
    <pivotField dataField="1" numFmtId="2"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7EE404-5927-4873-9D02-477D192E1185}" name="PivotTable23"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5:G24" firstHeaderRow="1" firstDataRow="2" firstDataCol="1"/>
  <pivotFields count="15">
    <pivotField dataField="1" showAll="0"/>
    <pivotField numFmtId="14" showAll="0"/>
    <pivotField axis="axisRow" showAll="0">
      <items count="8">
        <item sd="0" x="6"/>
        <item sd="0" x="2"/>
        <item sd="0" x="1"/>
        <item sd="0" x="5"/>
        <item sd="0" x="0"/>
        <item sd="0" x="4"/>
        <item sd="0" x="3"/>
        <item t="default" sd="0"/>
      </items>
    </pivotField>
    <pivotField axis="axisRow" showAll="0">
      <items count="15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pivotField numFmtId="2" showAll="0"/>
    <pivotField showAll="0"/>
    <pivotField showAll="0"/>
    <pivotField showAll="0"/>
    <pivotField showAll="0"/>
    <pivotField axis="axisCol" showAll="0">
      <items count="3">
        <item x="0"/>
        <item x="1"/>
        <item t="default"/>
      </items>
    </pivotField>
    <pivotField showAll="0"/>
    <pivotField showAll="0"/>
    <pivotField showAll="0"/>
    <pivotField showAll="0"/>
  </pivotFields>
  <rowFields count="2">
    <field x="2"/>
    <field x="3"/>
  </rowFields>
  <rowItems count="8">
    <i>
      <x/>
    </i>
    <i>
      <x v="1"/>
    </i>
    <i>
      <x v="2"/>
    </i>
    <i>
      <x v="3"/>
    </i>
    <i>
      <x v="4"/>
    </i>
    <i>
      <x v="5"/>
    </i>
    <i>
      <x v="6"/>
    </i>
    <i t="grand">
      <x/>
    </i>
  </rowItems>
  <colFields count="1">
    <field x="10"/>
  </colFields>
  <colItems count="3">
    <i>
      <x/>
    </i>
    <i>
      <x v="1"/>
    </i>
    <i t="grand">
      <x/>
    </i>
  </colItems>
  <dataFields count="1">
    <dataField name="Count of Expens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9EA443-FCCF-4616-9429-D2E572517C65}" name="PivotTable2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3:L12" firstHeaderRow="1" firstDataRow="2" firstDataCol="1"/>
  <pivotFields count="15">
    <pivotField dataField="1" showAll="0"/>
    <pivotField axis="axisRow" numFmtId="14" showAll="0">
      <items count="102">
        <item x="85"/>
        <item x="17"/>
        <item x="54"/>
        <item x="77"/>
        <item x="46"/>
        <item x="40"/>
        <item x="79"/>
        <item x="97"/>
        <item x="39"/>
        <item x="3"/>
        <item x="36"/>
        <item x="6"/>
        <item x="23"/>
        <item x="62"/>
        <item x="87"/>
        <item x="78"/>
        <item x="95"/>
        <item x="75"/>
        <item x="47"/>
        <item x="96"/>
        <item x="82"/>
        <item x="19"/>
        <item x="60"/>
        <item x="65"/>
        <item x="89"/>
        <item x="56"/>
        <item x="67"/>
        <item x="59"/>
        <item x="25"/>
        <item x="50"/>
        <item x="29"/>
        <item x="92"/>
        <item x="16"/>
        <item x="52"/>
        <item x="31"/>
        <item x="22"/>
        <item x="26"/>
        <item x="38"/>
        <item x="81"/>
        <item x="72"/>
        <item x="32"/>
        <item x="68"/>
        <item x="100"/>
        <item x="69"/>
        <item x="5"/>
        <item x="34"/>
        <item x="8"/>
        <item x="48"/>
        <item x="61"/>
        <item x="42"/>
        <item x="99"/>
        <item x="9"/>
        <item x="24"/>
        <item x="41"/>
        <item x="43"/>
        <item x="2"/>
        <item x="58"/>
        <item x="91"/>
        <item x="83"/>
        <item x="11"/>
        <item x="84"/>
        <item x="0"/>
        <item x="12"/>
        <item x="53"/>
        <item x="4"/>
        <item x="30"/>
        <item x="44"/>
        <item x="10"/>
        <item x="7"/>
        <item x="76"/>
        <item x="64"/>
        <item x="70"/>
        <item x="20"/>
        <item x="14"/>
        <item x="37"/>
        <item x="51"/>
        <item x="33"/>
        <item x="71"/>
        <item x="88"/>
        <item x="73"/>
        <item x="86"/>
        <item x="93"/>
        <item x="55"/>
        <item x="15"/>
        <item x="80"/>
        <item x="13"/>
        <item x="63"/>
        <item x="66"/>
        <item x="18"/>
        <item x="98"/>
        <item x="21"/>
        <item x="57"/>
        <item x="74"/>
        <item x="49"/>
        <item x="35"/>
        <item x="27"/>
        <item x="94"/>
        <item x="45"/>
        <item x="28"/>
        <item x="90"/>
        <item x="1"/>
        <item t="default"/>
      </items>
    </pivotField>
    <pivotField showAll="0"/>
    <pivotField showAll="0"/>
    <pivotField showAll="0"/>
    <pivotField numFmtId="2" showAll="0"/>
    <pivotField showAll="0"/>
    <pivotField showAll="0"/>
    <pivotField axis="axisCol" showAll="0">
      <items count="3">
        <item x="1"/>
        <item x="0"/>
        <item t="default"/>
      </items>
    </pivotField>
    <pivotField showAll="0"/>
    <pivotField showAll="0"/>
    <pivotField showAll="0"/>
    <pivotField axis="axisRow" showAll="0">
      <items count="8">
        <item sd="0" x="1"/>
        <item sd="0" x="6"/>
        <item sd="0" x="3"/>
        <item sd="0" x="5"/>
        <item sd="0" x="2"/>
        <item sd="0" x="0"/>
        <item sd="0" x="4"/>
        <item t="default" sd="0"/>
      </items>
    </pivotField>
    <pivotField showAll="0"/>
    <pivotField showAll="0"/>
  </pivotFields>
  <rowFields count="2">
    <field x="12"/>
    <field x="1"/>
  </rowFields>
  <rowItems count="8">
    <i>
      <x/>
    </i>
    <i>
      <x v="1"/>
    </i>
    <i>
      <x v="2"/>
    </i>
    <i>
      <x v="3"/>
    </i>
    <i>
      <x v="4"/>
    </i>
    <i>
      <x v="5"/>
    </i>
    <i>
      <x v="6"/>
    </i>
    <i t="grand">
      <x/>
    </i>
  </rowItems>
  <colFields count="1">
    <field x="8"/>
  </colFields>
  <colItems count="3">
    <i>
      <x/>
    </i>
    <i>
      <x v="1"/>
    </i>
    <i t="grand">
      <x/>
    </i>
  </colItems>
  <dataFields count="1">
    <dataField name="Count of Expense_ID" fld="0" subtotal="count" baseField="0" baseItem="0"/>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8" type="button" dataOnly="0" labelOnly="1" outline="0" axis="axisCol" fieldPosition="0"/>
    </format>
    <format dxfId="5">
      <pivotArea type="topRight" dataOnly="0" labelOnly="1" outline="0" fieldPosition="0"/>
    </format>
    <format dxfId="4">
      <pivotArea field="12" type="button" dataOnly="0" labelOnly="1" outline="0" axis="axisRow" fieldPosition="0"/>
    </format>
    <format dxfId="3">
      <pivotArea dataOnly="0" labelOnly="1" fieldPosition="0">
        <references count="1">
          <reference field="12" count="0"/>
        </references>
      </pivotArea>
    </format>
    <format dxfId="2">
      <pivotArea dataOnly="0" labelOnly="1" grandRow="1" outline="0" fieldPosition="0"/>
    </format>
    <format dxfId="1">
      <pivotArea dataOnly="0" labelOnly="1" fieldPosition="0">
        <references count="1">
          <reference field="8" count="0"/>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B2A872-6795-4D46-8E98-97C4E39ACE7F}" name="PivotTable2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G11" firstHeaderRow="1" firstDataRow="2" firstDataCol="1"/>
  <pivotFields count="15">
    <pivotField showAll="0"/>
    <pivotField numFmtId="14" showAll="0"/>
    <pivotField showAll="0"/>
    <pivotField axis="axisRow" showAll="0">
      <items count="15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pivotField dataField="1" numFmtId="2" showAll="0"/>
    <pivotField showAll="0"/>
    <pivotField axis="axisRow" showAll="0">
      <items count="7">
        <item sd="0" x="1"/>
        <item sd="0" x="3"/>
        <item sd="0" x="5"/>
        <item sd="0" x="4"/>
        <item sd="0" x="0"/>
        <item sd="0" x="2"/>
        <item t="default" sd="0"/>
      </items>
    </pivotField>
    <pivotField axis="axisCol" showAll="0">
      <items count="3">
        <item x="1"/>
        <item x="0"/>
        <item t="default"/>
      </items>
    </pivotField>
    <pivotField showAll="0"/>
    <pivotField showAll="0"/>
    <pivotField showAll="0"/>
    <pivotField showAll="0"/>
    <pivotField showAll="0"/>
    <pivotField showAll="0"/>
  </pivotFields>
  <rowFields count="2">
    <field x="7"/>
    <field x="3"/>
  </rowFields>
  <rowItems count="7">
    <i>
      <x/>
    </i>
    <i>
      <x v="1"/>
    </i>
    <i>
      <x v="2"/>
    </i>
    <i>
      <x v="3"/>
    </i>
    <i>
      <x v="4"/>
    </i>
    <i>
      <x v="5"/>
    </i>
    <i t="grand">
      <x/>
    </i>
  </rowItems>
  <colFields count="1">
    <field x="8"/>
  </colFields>
  <colItems count="3">
    <i>
      <x/>
    </i>
    <i>
      <x v="1"/>
    </i>
    <i t="grand">
      <x/>
    </i>
  </colItems>
  <dataFields count="1">
    <dataField name="Sum of Amount" fld="5" baseField="0" baseItem="0"/>
  </dataFields>
  <formats count="10">
    <format dxfId="19">
      <pivotArea type="all" dataOnly="0" outline="0" fieldPosition="0"/>
    </format>
    <format dxfId="18">
      <pivotArea outline="0" collapsedLevelsAreSubtotals="1" fieldPosition="0"/>
    </format>
    <format dxfId="17">
      <pivotArea type="origin" dataOnly="0" labelOnly="1" outline="0" fieldPosition="0"/>
    </format>
    <format dxfId="16">
      <pivotArea field="8" type="button" dataOnly="0" labelOnly="1" outline="0" axis="axisCol" fieldPosition="0"/>
    </format>
    <format dxfId="15">
      <pivotArea type="topRight" dataOnly="0" labelOnly="1" outline="0" fieldPosition="0"/>
    </format>
    <format dxfId="14">
      <pivotArea field="7" type="button" dataOnly="0" labelOnly="1" outline="0" axis="axisRow" fieldPosition="0"/>
    </format>
    <format dxfId="13">
      <pivotArea dataOnly="0" labelOnly="1" fieldPosition="0">
        <references count="1">
          <reference field="7" count="0"/>
        </references>
      </pivotArea>
    </format>
    <format dxfId="12">
      <pivotArea dataOnly="0" labelOnly="1" grandRow="1" outline="0" fieldPosition="0"/>
    </format>
    <format dxfId="11">
      <pivotArea dataOnly="0" labelOnly="1" fieldPosition="0">
        <references count="1">
          <reference field="8" count="0"/>
        </references>
      </pivotArea>
    </format>
    <format dxfId="1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7E9BE6E-450F-40E2-8586-F8F3F318700D}" sourceName="Category">
  <pivotTables>
    <pivotTable tabId="7" name="Monthly expense summary"/>
  </pivotTables>
  <data>
    <tabular pivotCacheId="590645104">
      <items count="7">
        <i x="6" s="1"/>
        <i x="2" s="1"/>
        <i x="1" s="1"/>
        <i x="5" s="1"/>
        <i x="0"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0F7988B8-F677-4177-9E50-82455ECDC1E3}" sourceName="Payment_Mode">
  <pivotTables>
    <pivotTable tabId="7" name="Monthly expense summary"/>
  </pivotTables>
  <data>
    <tabular pivotCacheId="59064510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F295BB5-EAAC-4C90-826E-B0D8923AEB05}" sourceName="Month">
  <pivotTables>
    <pivotTable tabId="7" name="Monthly expense summary"/>
    <pivotTable tabId="7" name="Payment mode analysis"/>
    <pivotTable tabId="7" name="PivotTable11"/>
    <pivotTable tabId="7" name="top expenses"/>
  </pivotTables>
  <data>
    <tabular pivotCacheId="590645104">
      <items count="7">
        <i x="1" s="1"/>
        <i x="6" s="1"/>
        <i x="3" s="1"/>
        <i x="5" s="1"/>
        <i x="2"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7056E5AD-9D9A-40BD-B583-6D297B676843}" sourceName="Category">
  <pivotTables>
    <pivotTable tabId="7" name="PivotTable1"/>
  </pivotTables>
  <data>
    <tabular pivotCacheId="590645104">
      <items count="7">
        <i x="6" s="1"/>
        <i x="2"/>
        <i x="1"/>
        <i x="5"/>
        <i x="0"/>
        <i x="4"/>
        <i x="3"/>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category" xr10:uid="{E7B9F7C7-0D90-45A2-9ECF-E99763C27D00}" sourceName="Subcategory">
  <pivotTables>
    <pivotTable tabId="7" name="PivotTable1"/>
  </pivotTables>
  <data>
    <tabular pivotCacheId="590645104">
      <items count="28">
        <i x="23" s="1"/>
        <i x="26" s="1"/>
        <i x="19" s="1"/>
        <i x="9" s="1"/>
        <i x="3" s="1" nd="1"/>
        <i x="21" s="1" nd="1"/>
        <i x="2" s="1" nd="1"/>
        <i x="24" s="1" nd="1"/>
        <i x="14" s="1" nd="1"/>
        <i x="16" s="1" nd="1"/>
        <i x="6" s="1" nd="1"/>
        <i x="0" s="1" nd="1"/>
        <i x="12" s="1" nd="1"/>
        <i x="15" s="1" nd="1"/>
        <i x="13" s="1" nd="1"/>
        <i x="10" s="1" nd="1"/>
        <i x="1" s="1" nd="1"/>
        <i x="27" s="1" nd="1"/>
        <i x="20" s="1" nd="1"/>
        <i x="5" s="1" nd="1"/>
        <i x="25" s="1" nd="1"/>
        <i x="4" s="1" nd="1"/>
        <i x="11" s="1" nd="1"/>
        <i x="17" s="1" nd="1"/>
        <i x="8" s="1" nd="1"/>
        <i x="7" s="1" nd="1"/>
        <i x="18" s="1" nd="1"/>
        <i x="2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D7DC00A-C993-407C-91A0-12DFCCD501B7}" cache="Slicer_Category" caption="Category" rowHeight="241300"/>
  <slicer name="Payment_Mode" xr10:uid="{8C128FE5-5E09-48E4-9CC4-986330511F5C}" cache="Slicer_Payment_Mode" caption="Payment_Mode" rowHeight="241300"/>
  <slicer name="Month" xr10:uid="{D0C87F7C-EED1-4F49-B1DB-FB5F97ABEA65}" cache="Slicer_Month" caption="Month" rowHeight="241300"/>
  <slicer name="Category 1" xr10:uid="{20625F19-5615-481C-88F2-B15F9DCF7A17}" cache="Slicer_Category1" caption="Category" rowHeight="241300"/>
  <slicer name="Subcategory" xr10:uid="{5A9B4BDF-5243-4811-BDE0-60C22D67913A}" cache="Slicer_Subcategory" caption="Sub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55923DD1-F5AE-4282-84EB-68872D84E519}" cache="Slicer_Category1"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4A13D02-E2D1-43DD-9995-6793BB494A81}" name="Table5" displayName="Table5" ref="A1:O151" totalsRowShown="0" headerRowDxfId="46" dataDxfId="45">
  <autoFilter ref="A1:O151" xr:uid="{1F1E81F6-E413-4EE3-8B58-ED869188B671}"/>
  <tableColumns count="15">
    <tableColumn id="1" xr3:uid="{6708E8CF-75DA-4CA4-95A1-8F21356EBF6F}" name="Expense_ID" dataDxfId="44"/>
    <tableColumn id="2" xr3:uid="{30A73584-04D3-46AE-8B7A-B376539BEBDA}" name="Expense_Date" dataDxfId="43"/>
    <tableColumn id="3" xr3:uid="{0AE0D851-E0CC-4D36-82F3-5FD8E099928C}" name="Category" dataDxfId="42"/>
    <tableColumn id="4" xr3:uid="{4440C3B3-2912-44F8-BB9B-1AFA92B7C67E}" name="Description" dataDxfId="41"/>
    <tableColumn id="5" xr3:uid="{7CFD06BE-7B6E-4493-83AA-8DE4A36FBB47}" name="Payment_Mode" dataDxfId="40"/>
    <tableColumn id="6" xr3:uid="{6D3D9A5F-FD2E-46CD-B087-A596AEDC1860}" name="Amount" dataDxfId="39"/>
    <tableColumn id="7" xr3:uid="{A9C474E2-5574-4F58-BCAB-A07112C403AA}" name="Subcategory" dataDxfId="38"/>
    <tableColumn id="8" xr3:uid="{E9F859C7-01AD-4B39-8D99-EAAE8E9A9451}" name="Location" dataDxfId="37"/>
    <tableColumn id="9" xr3:uid="{76457566-19AE-4B6F-8128-8AA9F7C65F39}" name="Recurring" dataDxfId="36"/>
    <tableColumn id="10" xr3:uid="{EF4FA999-5346-40F5-A2A5-47EC0F564C3F}" name="Vendor" dataDxfId="35"/>
    <tableColumn id="11" xr3:uid="{524A526E-E0D1-494E-9945-796B5230E554}" name="Payment_Status" dataDxfId="34"/>
    <tableColumn id="12" xr3:uid="{427812AB-42F1-422E-B01C-A02ABB9B1CC8}" name="Notes" dataDxfId="33"/>
    <tableColumn id="13" xr3:uid="{57861316-4A94-4E8D-9EEB-A90EB7F995FB}" name="Month" dataDxfId="32">
      <calculatedColumnFormula>TEXT(B2,"mmmm")</calculatedColumnFormula>
    </tableColumn>
    <tableColumn id="14" xr3:uid="{1C283227-F91A-43F6-9075-B9B18782D169}" name="YEAR" dataDxfId="31">
      <calculatedColumnFormula>YEAR(B2)</calculatedColumnFormula>
    </tableColumn>
    <tableColumn id="15" xr3:uid="{6C6C7C65-2D65-4A16-BFE6-8C90D2456EA5}" name="Hgh-Value-Flag" dataDxfId="30">
      <calculatedColumnFormula>IF(F2&gt;3000,"high","normal")</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375779-843A-4528-AE16-5F03C81E2075}" name="Table1" displayName="Table1" ref="C1:E8" totalsRowShown="0" headerRowDxfId="29">
  <autoFilter ref="C1:E8" xr:uid="{053541DC-151C-4776-8589-994F4765E876}"/>
  <tableColumns count="3">
    <tableColumn id="1" xr3:uid="{A3537654-C367-4431-8711-C5A0F3AC3A60}" name="Month"/>
    <tableColumn id="2" xr3:uid="{E247D3A0-83DB-4492-B68D-E5D9C1EDB581}" name="Monthly Total" dataDxfId="28">
      <calculatedColumnFormula>SUMIFS('Cleaned data'!F:F,'Cleaned data'!M:M,calculations!C2)</calculatedColumnFormula>
    </tableColumn>
    <tableColumn id="3" xr3:uid="{7CEA0798-C8F0-48B2-A605-DA155339C252}" name="Monthly %" dataDxfId="27">
      <calculatedColumnFormula>Table1[[#This Row],[Monthly Total]]/$A$2</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A6928F-8467-460D-8EBB-4453738CBB4C}" name="Table2" displayName="Table2" ref="G1:I8" totalsRowShown="0">
  <autoFilter ref="G1:I8" xr:uid="{0EB93449-BBCD-48C6-B229-30A5DBB76314}"/>
  <tableColumns count="3">
    <tableColumn id="1" xr3:uid="{8DC26EB3-6B28-47D2-A03A-9DB27B372E37}" name="Category" dataDxfId="26"/>
    <tableColumn id="2" xr3:uid="{2DFA2FE3-606B-485B-8CA9-466D259FA9BA}" name="Total Expences" dataDxfId="25">
      <calculatedColumnFormula>SUMIFS('Cleaned data'!F:F,'Cleaned data'!C:C,calculations!G2)</calculatedColumnFormula>
    </tableColumn>
    <tableColumn id="3" xr3:uid="{430D389D-BD0C-4788-8044-C00C2F528B65}" name="% of Share" dataDxfId="24">
      <calculatedColumnFormula>H2/$A$2</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632333-D7A0-4EBB-BD7A-50BDFAA1298C}" name="Table3" displayName="Table3" ref="K1:L4" totalsRowShown="0">
  <autoFilter ref="K1:L4" xr:uid="{3B18FCED-8C25-4C55-9C94-7E7F350D04E5}"/>
  <tableColumns count="2">
    <tableColumn id="1" xr3:uid="{2AF5F13F-2C07-4397-8118-ED3C72E9D487}" name="Payment_Mode" dataDxfId="23"/>
    <tableColumn id="2" xr3:uid="{DBD242AF-B3AC-40F9-A694-419D1B40436F}" name="Total Spend" dataDxfId="22">
      <calculatedColumnFormula>SUMIFS('Cleaned data'!F:F,'Cleaned data'!E:E,calculations!K2)</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6897C00-D310-4D4A-A59E-D8D0BA51ADD9}" name="Table4" displayName="Table4" ref="N1:O85" totalsRowShown="0">
  <autoFilter ref="N1:O85" xr:uid="{9D8C7D57-1B0E-45A0-8B9D-57FA7664DCB5}"/>
  <tableColumns count="2">
    <tableColumn id="1" xr3:uid="{57C438EC-8581-45F5-B293-D4B5842C0AFF}" name="Expense_Date" dataDxfId="21"/>
    <tableColumn id="2" xr3:uid="{890F33C5-E617-49EA-BA4C-B50497F21AF5}" name="Cumulative Expences" dataDxfId="20">
      <calculatedColumnFormula>SUM('Cleaned data'!F1:F1:'Cleaned data'!F2)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5" Type="http://schemas.openxmlformats.org/officeDocument/2006/relationships/table" Target="../tables/table5.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1"/>
  <sheetViews>
    <sheetView workbookViewId="0">
      <selection activeCell="O9" sqref="O9"/>
    </sheetView>
  </sheetViews>
  <sheetFormatPr defaultRowHeight="15" x14ac:dyDescent="0.25"/>
  <cols>
    <col min="2" max="2" width="16"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v>1</v>
      </c>
      <c r="B2" s="2">
        <v>45965.322616928701</v>
      </c>
      <c r="C2" t="s">
        <v>12</v>
      </c>
      <c r="D2" t="s">
        <v>19</v>
      </c>
      <c r="E2" t="s">
        <v>169</v>
      </c>
      <c r="F2">
        <v>3986.17</v>
      </c>
      <c r="G2" t="s">
        <v>172</v>
      </c>
      <c r="H2" t="s">
        <v>200</v>
      </c>
      <c r="I2" t="s">
        <v>206</v>
      </c>
      <c r="J2" t="s">
        <v>208</v>
      </c>
      <c r="K2" t="s">
        <v>235</v>
      </c>
      <c r="L2" t="s">
        <v>237</v>
      </c>
    </row>
    <row r="3" spans="1:12" x14ac:dyDescent="0.25">
      <c r="A3">
        <v>2</v>
      </c>
      <c r="B3" s="2">
        <v>46042.322616928701</v>
      </c>
      <c r="C3" t="s">
        <v>13</v>
      </c>
      <c r="D3" t="s">
        <v>20</v>
      </c>
      <c r="E3" t="s">
        <v>169</v>
      </c>
      <c r="F3">
        <v>1390.62</v>
      </c>
      <c r="G3" t="s">
        <v>173</v>
      </c>
      <c r="H3" t="s">
        <v>201</v>
      </c>
      <c r="I3" t="s">
        <v>207</v>
      </c>
      <c r="J3" t="s">
        <v>209</v>
      </c>
      <c r="K3" t="s">
        <v>236</v>
      </c>
      <c r="L3" t="s">
        <v>237</v>
      </c>
    </row>
    <row r="4" spans="1:12" x14ac:dyDescent="0.25">
      <c r="A4">
        <v>3</v>
      </c>
      <c r="B4" s="2">
        <v>45955.322616928701</v>
      </c>
      <c r="C4" t="s">
        <v>14</v>
      </c>
      <c r="D4" t="s">
        <v>21</v>
      </c>
      <c r="E4" t="s">
        <v>170</v>
      </c>
      <c r="F4">
        <v>2222.91</v>
      </c>
      <c r="G4" t="s">
        <v>174</v>
      </c>
      <c r="H4" t="s">
        <v>202</v>
      </c>
      <c r="I4" t="s">
        <v>207</v>
      </c>
      <c r="J4" t="s">
        <v>210</v>
      </c>
      <c r="K4" t="s">
        <v>235</v>
      </c>
      <c r="L4" t="s">
        <v>237</v>
      </c>
    </row>
    <row r="5" spans="1:12" x14ac:dyDescent="0.25">
      <c r="A5">
        <v>4</v>
      </c>
      <c r="B5" s="2">
        <v>45877.322616928701</v>
      </c>
      <c r="C5" t="s">
        <v>12</v>
      </c>
      <c r="D5" t="s">
        <v>22</v>
      </c>
      <c r="E5" t="s">
        <v>169</v>
      </c>
      <c r="F5">
        <v>438.36</v>
      </c>
      <c r="G5" t="s">
        <v>175</v>
      </c>
      <c r="H5" t="s">
        <v>202</v>
      </c>
      <c r="I5" t="s">
        <v>207</v>
      </c>
      <c r="J5" t="s">
        <v>208</v>
      </c>
      <c r="K5" t="s">
        <v>235</v>
      </c>
      <c r="L5" t="s">
        <v>237</v>
      </c>
    </row>
    <row r="6" spans="1:12" x14ac:dyDescent="0.25">
      <c r="A6">
        <v>5</v>
      </c>
      <c r="B6" s="2">
        <v>45969.322616928701</v>
      </c>
      <c r="C6" t="s">
        <v>13</v>
      </c>
      <c r="D6" t="s">
        <v>23</v>
      </c>
      <c r="E6" t="s">
        <v>171</v>
      </c>
      <c r="F6">
        <v>175.49</v>
      </c>
      <c r="G6" t="s">
        <v>176</v>
      </c>
      <c r="H6" t="s">
        <v>203</v>
      </c>
      <c r="I6" t="s">
        <v>206</v>
      </c>
      <c r="J6" t="s">
        <v>209</v>
      </c>
      <c r="K6" t="s">
        <v>235</v>
      </c>
      <c r="L6" t="s">
        <v>237</v>
      </c>
    </row>
    <row r="7" spans="1:12" x14ac:dyDescent="0.25">
      <c r="A7">
        <v>6</v>
      </c>
      <c r="B7" s="2">
        <v>45934.322616928701</v>
      </c>
      <c r="C7" t="s">
        <v>15</v>
      </c>
      <c r="D7" t="s">
        <v>24</v>
      </c>
      <c r="E7" t="s">
        <v>170</v>
      </c>
      <c r="F7">
        <v>4815.1099999999997</v>
      </c>
      <c r="G7" t="s">
        <v>177</v>
      </c>
      <c r="H7" t="s">
        <v>204</v>
      </c>
      <c r="I7" t="s">
        <v>207</v>
      </c>
      <c r="J7" t="s">
        <v>211</v>
      </c>
      <c r="K7" t="s">
        <v>235</v>
      </c>
      <c r="L7" t="s">
        <v>237</v>
      </c>
    </row>
    <row r="8" spans="1:12" x14ac:dyDescent="0.25">
      <c r="A8">
        <v>7</v>
      </c>
      <c r="B8" s="2">
        <v>45883.322616928701</v>
      </c>
      <c r="C8" t="s">
        <v>15</v>
      </c>
      <c r="D8" t="s">
        <v>25</v>
      </c>
      <c r="E8" t="s">
        <v>171</v>
      </c>
      <c r="F8">
        <v>4188.1000000000004</v>
      </c>
      <c r="G8" t="s">
        <v>178</v>
      </c>
      <c r="H8" t="s">
        <v>200</v>
      </c>
      <c r="I8" t="s">
        <v>207</v>
      </c>
      <c r="J8" t="s">
        <v>212</v>
      </c>
      <c r="K8" t="s">
        <v>235</v>
      </c>
      <c r="L8" t="s">
        <v>237</v>
      </c>
    </row>
    <row r="9" spans="1:12" x14ac:dyDescent="0.25">
      <c r="A9">
        <v>8</v>
      </c>
      <c r="B9" s="2">
        <v>45965.322616928701</v>
      </c>
      <c r="C9" t="s">
        <v>15</v>
      </c>
      <c r="D9" t="s">
        <v>26</v>
      </c>
      <c r="E9" t="s">
        <v>171</v>
      </c>
      <c r="F9">
        <v>3495.07</v>
      </c>
      <c r="G9" t="s">
        <v>177</v>
      </c>
      <c r="H9" t="s">
        <v>200</v>
      </c>
      <c r="I9" t="s">
        <v>207</v>
      </c>
      <c r="J9" t="s">
        <v>212</v>
      </c>
      <c r="K9" t="s">
        <v>235</v>
      </c>
      <c r="L9" t="s">
        <v>237</v>
      </c>
    </row>
    <row r="10" spans="1:12" x14ac:dyDescent="0.25">
      <c r="A10">
        <v>9</v>
      </c>
      <c r="B10" s="2">
        <v>45984.322616928701</v>
      </c>
      <c r="C10" t="s">
        <v>15</v>
      </c>
      <c r="D10" t="s">
        <v>27</v>
      </c>
      <c r="E10" t="s">
        <v>169</v>
      </c>
      <c r="F10">
        <v>2074.3200000000002</v>
      </c>
      <c r="G10" t="s">
        <v>178</v>
      </c>
      <c r="H10" t="s">
        <v>205</v>
      </c>
      <c r="I10" t="s">
        <v>207</v>
      </c>
      <c r="J10" t="s">
        <v>213</v>
      </c>
      <c r="K10" t="s">
        <v>235</v>
      </c>
      <c r="L10" t="s">
        <v>237</v>
      </c>
    </row>
    <row r="11" spans="1:12" x14ac:dyDescent="0.25">
      <c r="A11">
        <v>10</v>
      </c>
      <c r="B11" s="2">
        <v>45937.322616928701</v>
      </c>
      <c r="C11" t="s">
        <v>15</v>
      </c>
      <c r="D11" t="s">
        <v>28</v>
      </c>
      <c r="E11" t="s">
        <v>169</v>
      </c>
      <c r="F11">
        <v>907.81</v>
      </c>
      <c r="G11" t="s">
        <v>177</v>
      </c>
      <c r="H11" t="s">
        <v>203</v>
      </c>
      <c r="I11" t="s">
        <v>207</v>
      </c>
      <c r="J11" t="s">
        <v>214</v>
      </c>
      <c r="K11" t="s">
        <v>235</v>
      </c>
      <c r="L11" t="s">
        <v>237</v>
      </c>
    </row>
    <row r="12" spans="1:12" x14ac:dyDescent="0.25">
      <c r="A12">
        <v>11</v>
      </c>
      <c r="B12" s="2">
        <v>45950.322616928701</v>
      </c>
      <c r="C12" t="s">
        <v>13</v>
      </c>
      <c r="D12" t="s">
        <v>29</v>
      </c>
      <c r="E12" t="s">
        <v>169</v>
      </c>
      <c r="F12">
        <v>824.36</v>
      </c>
      <c r="G12" t="s">
        <v>176</v>
      </c>
      <c r="H12" t="s">
        <v>205</v>
      </c>
      <c r="I12" t="s">
        <v>206</v>
      </c>
      <c r="J12" t="s">
        <v>215</v>
      </c>
      <c r="K12" t="s">
        <v>235</v>
      </c>
      <c r="L12" t="s">
        <v>237</v>
      </c>
    </row>
    <row r="13" spans="1:12" x14ac:dyDescent="0.25">
      <c r="A13">
        <v>12</v>
      </c>
      <c r="B13" s="2">
        <v>45979.322616928701</v>
      </c>
      <c r="C13" t="s">
        <v>13</v>
      </c>
      <c r="D13" t="s">
        <v>30</v>
      </c>
      <c r="E13" t="s">
        <v>169</v>
      </c>
      <c r="F13">
        <v>1288.7</v>
      </c>
      <c r="G13" t="s">
        <v>173</v>
      </c>
      <c r="H13" t="s">
        <v>205</v>
      </c>
      <c r="I13" t="s">
        <v>207</v>
      </c>
      <c r="J13" t="s">
        <v>216</v>
      </c>
      <c r="K13" t="s">
        <v>235</v>
      </c>
      <c r="L13" t="s">
        <v>237</v>
      </c>
    </row>
    <row r="14" spans="1:12" x14ac:dyDescent="0.25">
      <c r="A14">
        <v>13</v>
      </c>
      <c r="B14" s="2">
        <v>45962.322616928701</v>
      </c>
      <c r="C14" t="s">
        <v>16</v>
      </c>
      <c r="D14" t="s">
        <v>31</v>
      </c>
      <c r="E14" t="s">
        <v>169</v>
      </c>
      <c r="F14">
        <v>2768.67</v>
      </c>
      <c r="G14" t="s">
        <v>179</v>
      </c>
      <c r="H14" t="s">
        <v>205</v>
      </c>
      <c r="I14" t="s">
        <v>207</v>
      </c>
      <c r="J14" t="s">
        <v>217</v>
      </c>
      <c r="K14" t="s">
        <v>235</v>
      </c>
      <c r="L14" t="s">
        <v>237</v>
      </c>
    </row>
    <row r="15" spans="1:12" x14ac:dyDescent="0.25">
      <c r="A15">
        <v>14</v>
      </c>
      <c r="B15" s="2">
        <v>45966.322616928701</v>
      </c>
      <c r="C15" t="s">
        <v>17</v>
      </c>
      <c r="D15" t="s">
        <v>32</v>
      </c>
      <c r="E15" t="s">
        <v>170</v>
      </c>
      <c r="F15">
        <v>3587.25</v>
      </c>
      <c r="G15" t="s">
        <v>180</v>
      </c>
      <c r="H15" t="s">
        <v>204</v>
      </c>
      <c r="I15" t="s">
        <v>207</v>
      </c>
      <c r="J15" t="s">
        <v>218</v>
      </c>
      <c r="K15" t="s">
        <v>235</v>
      </c>
      <c r="L15" t="s">
        <v>237</v>
      </c>
    </row>
    <row r="16" spans="1:12" x14ac:dyDescent="0.25">
      <c r="A16">
        <v>15</v>
      </c>
      <c r="B16" s="2">
        <v>46014.322616928701</v>
      </c>
      <c r="C16" t="s">
        <v>18</v>
      </c>
      <c r="D16" t="s">
        <v>33</v>
      </c>
      <c r="E16" t="s">
        <v>171</v>
      </c>
      <c r="F16">
        <v>3317.98</v>
      </c>
      <c r="G16" t="s">
        <v>181</v>
      </c>
      <c r="H16" t="s">
        <v>204</v>
      </c>
      <c r="I16" t="s">
        <v>207</v>
      </c>
      <c r="J16" t="s">
        <v>219</v>
      </c>
      <c r="K16" t="s">
        <v>235</v>
      </c>
      <c r="L16" t="s">
        <v>237</v>
      </c>
    </row>
    <row r="17" spans="1:12" x14ac:dyDescent="0.25">
      <c r="A17">
        <v>16</v>
      </c>
      <c r="B17" s="2">
        <v>45993.322616928701</v>
      </c>
      <c r="C17" t="s">
        <v>15</v>
      </c>
      <c r="D17" t="s">
        <v>34</v>
      </c>
      <c r="E17" t="s">
        <v>171</v>
      </c>
      <c r="F17">
        <v>1435.67</v>
      </c>
      <c r="G17" t="s">
        <v>178</v>
      </c>
      <c r="H17" t="s">
        <v>201</v>
      </c>
      <c r="I17" t="s">
        <v>206</v>
      </c>
      <c r="J17" t="s">
        <v>212</v>
      </c>
      <c r="K17" t="s">
        <v>235</v>
      </c>
      <c r="L17" t="s">
        <v>237</v>
      </c>
    </row>
    <row r="18" spans="1:12" x14ac:dyDescent="0.25">
      <c r="A18">
        <v>17</v>
      </c>
      <c r="B18" s="2">
        <v>46012.322616928701</v>
      </c>
      <c r="C18" t="s">
        <v>14</v>
      </c>
      <c r="D18" t="s">
        <v>35</v>
      </c>
      <c r="E18" t="s">
        <v>171</v>
      </c>
      <c r="F18">
        <v>4776.58</v>
      </c>
      <c r="G18" t="s">
        <v>182</v>
      </c>
      <c r="H18" t="s">
        <v>201</v>
      </c>
      <c r="I18" t="s">
        <v>207</v>
      </c>
      <c r="J18" t="s">
        <v>220</v>
      </c>
      <c r="K18" t="s">
        <v>235</v>
      </c>
      <c r="L18" t="s">
        <v>237</v>
      </c>
    </row>
    <row r="19" spans="1:12" x14ac:dyDescent="0.25">
      <c r="A19">
        <v>18</v>
      </c>
      <c r="B19" s="2">
        <v>45915.322616928701</v>
      </c>
      <c r="C19" t="s">
        <v>18</v>
      </c>
      <c r="D19" t="s">
        <v>36</v>
      </c>
      <c r="E19" t="s">
        <v>171</v>
      </c>
      <c r="F19">
        <v>3702.59</v>
      </c>
      <c r="G19" t="s">
        <v>181</v>
      </c>
      <c r="H19" t="s">
        <v>205</v>
      </c>
      <c r="I19" t="s">
        <v>207</v>
      </c>
      <c r="J19" t="s">
        <v>221</v>
      </c>
      <c r="K19" t="s">
        <v>235</v>
      </c>
      <c r="L19" t="s">
        <v>237</v>
      </c>
    </row>
    <row r="20" spans="1:12" x14ac:dyDescent="0.25">
      <c r="A20">
        <v>19</v>
      </c>
      <c r="B20" s="2">
        <v>45864.322616928701</v>
      </c>
      <c r="C20" t="s">
        <v>13</v>
      </c>
      <c r="D20" t="s">
        <v>37</v>
      </c>
      <c r="E20" t="s">
        <v>169</v>
      </c>
      <c r="F20">
        <v>2794.05</v>
      </c>
      <c r="G20" t="s">
        <v>176</v>
      </c>
      <c r="H20" t="s">
        <v>203</v>
      </c>
      <c r="I20" t="s">
        <v>207</v>
      </c>
      <c r="J20" t="s">
        <v>209</v>
      </c>
      <c r="K20" t="s">
        <v>235</v>
      </c>
      <c r="L20" t="s">
        <v>237</v>
      </c>
    </row>
    <row r="21" spans="1:12" x14ac:dyDescent="0.25">
      <c r="A21">
        <v>20</v>
      </c>
      <c r="B21" s="2">
        <v>45950.322616928701</v>
      </c>
      <c r="C21" t="s">
        <v>14</v>
      </c>
      <c r="D21" t="s">
        <v>38</v>
      </c>
      <c r="E21" t="s">
        <v>171</v>
      </c>
      <c r="F21">
        <v>3078.02</v>
      </c>
      <c r="G21" t="s">
        <v>183</v>
      </c>
      <c r="H21" t="s">
        <v>200</v>
      </c>
      <c r="I21" t="s">
        <v>207</v>
      </c>
      <c r="J21" t="s">
        <v>210</v>
      </c>
      <c r="K21" t="s">
        <v>235</v>
      </c>
      <c r="L21" t="s">
        <v>237</v>
      </c>
    </row>
    <row r="22" spans="1:12" x14ac:dyDescent="0.25">
      <c r="A22">
        <v>21</v>
      </c>
      <c r="B22" s="2">
        <v>46020.322616928701</v>
      </c>
      <c r="C22" t="s">
        <v>14</v>
      </c>
      <c r="D22" t="s">
        <v>39</v>
      </c>
      <c r="E22" t="s">
        <v>170</v>
      </c>
      <c r="F22">
        <v>2127.02</v>
      </c>
      <c r="G22" t="s">
        <v>182</v>
      </c>
      <c r="H22" t="s">
        <v>204</v>
      </c>
      <c r="I22" t="s">
        <v>207</v>
      </c>
      <c r="J22" t="s">
        <v>220</v>
      </c>
      <c r="K22" t="s">
        <v>235</v>
      </c>
      <c r="L22" t="s">
        <v>237</v>
      </c>
    </row>
    <row r="23" spans="1:12" x14ac:dyDescent="0.25">
      <c r="A23">
        <v>22</v>
      </c>
      <c r="B23" s="2">
        <v>45900.322616928701</v>
      </c>
      <c r="C23" t="s">
        <v>14</v>
      </c>
      <c r="D23" t="s">
        <v>40</v>
      </c>
      <c r="E23" t="s">
        <v>170</v>
      </c>
      <c r="F23">
        <v>1276.27</v>
      </c>
      <c r="G23" t="s">
        <v>183</v>
      </c>
      <c r="H23" t="s">
        <v>203</v>
      </c>
      <c r="I23" t="s">
        <v>207</v>
      </c>
      <c r="J23" t="s">
        <v>222</v>
      </c>
      <c r="K23" t="s">
        <v>235</v>
      </c>
      <c r="L23" t="s">
        <v>237</v>
      </c>
    </row>
    <row r="24" spans="1:12" x14ac:dyDescent="0.25">
      <c r="A24">
        <v>23</v>
      </c>
      <c r="B24" s="2">
        <v>45992.322616928701</v>
      </c>
      <c r="C24" t="s">
        <v>16</v>
      </c>
      <c r="D24" t="s">
        <v>41</v>
      </c>
      <c r="E24" t="s">
        <v>171</v>
      </c>
      <c r="F24">
        <v>1812.06</v>
      </c>
      <c r="G24" t="s">
        <v>184</v>
      </c>
      <c r="H24" t="s">
        <v>202</v>
      </c>
      <c r="I24" t="s">
        <v>207</v>
      </c>
      <c r="J24" t="s">
        <v>223</v>
      </c>
      <c r="K24" t="s">
        <v>235</v>
      </c>
      <c r="L24" t="s">
        <v>237</v>
      </c>
    </row>
    <row r="25" spans="1:12" x14ac:dyDescent="0.25">
      <c r="A25">
        <v>24</v>
      </c>
      <c r="B25" s="2">
        <v>45883.322616928701</v>
      </c>
      <c r="C25" t="s">
        <v>13</v>
      </c>
      <c r="D25" t="s">
        <v>42</v>
      </c>
      <c r="E25" t="s">
        <v>171</v>
      </c>
      <c r="F25">
        <v>3801.34</v>
      </c>
      <c r="G25" t="s">
        <v>173</v>
      </c>
      <c r="H25" t="s">
        <v>204</v>
      </c>
      <c r="I25" t="s">
        <v>207</v>
      </c>
      <c r="J25" t="s">
        <v>224</v>
      </c>
      <c r="K25" t="s">
        <v>235</v>
      </c>
      <c r="L25" t="s">
        <v>237</v>
      </c>
    </row>
    <row r="26" spans="1:12" x14ac:dyDescent="0.25">
      <c r="A26">
        <v>25</v>
      </c>
      <c r="B26" s="2">
        <v>46023.322616928701</v>
      </c>
      <c r="C26" t="s">
        <v>14</v>
      </c>
      <c r="D26" t="s">
        <v>43</v>
      </c>
      <c r="E26" t="s">
        <v>170</v>
      </c>
      <c r="F26">
        <v>121.25</v>
      </c>
      <c r="G26" t="s">
        <v>182</v>
      </c>
      <c r="H26" t="s">
        <v>204</v>
      </c>
      <c r="I26" t="s">
        <v>206</v>
      </c>
      <c r="J26" t="s">
        <v>225</v>
      </c>
      <c r="K26" t="s">
        <v>235</v>
      </c>
      <c r="L26" t="s">
        <v>237</v>
      </c>
    </row>
    <row r="27" spans="1:12" x14ac:dyDescent="0.25">
      <c r="A27">
        <v>26</v>
      </c>
      <c r="B27" s="2">
        <v>45920.322616928701</v>
      </c>
      <c r="C27" t="s">
        <v>15</v>
      </c>
      <c r="D27" t="s">
        <v>44</v>
      </c>
      <c r="E27" t="s">
        <v>170</v>
      </c>
      <c r="F27">
        <v>624.55999999999995</v>
      </c>
      <c r="G27" t="s">
        <v>185</v>
      </c>
      <c r="H27" t="s">
        <v>201</v>
      </c>
      <c r="I27" t="s">
        <v>206</v>
      </c>
      <c r="J27" t="s">
        <v>213</v>
      </c>
      <c r="K27" t="s">
        <v>235</v>
      </c>
      <c r="L27" t="s">
        <v>237</v>
      </c>
    </row>
    <row r="28" spans="1:12" x14ac:dyDescent="0.25">
      <c r="A28">
        <v>27</v>
      </c>
      <c r="B28" s="2">
        <v>45884.322616928701</v>
      </c>
      <c r="C28" t="s">
        <v>12</v>
      </c>
      <c r="D28" t="s">
        <v>45</v>
      </c>
      <c r="E28" t="s">
        <v>169</v>
      </c>
      <c r="F28">
        <v>277.70999999999998</v>
      </c>
      <c r="G28" t="s">
        <v>186</v>
      </c>
      <c r="H28" t="s">
        <v>200</v>
      </c>
      <c r="I28" t="s">
        <v>207</v>
      </c>
      <c r="J28" t="s">
        <v>226</v>
      </c>
      <c r="K28" t="s">
        <v>235</v>
      </c>
      <c r="L28" t="s">
        <v>237</v>
      </c>
    </row>
    <row r="29" spans="1:12" x14ac:dyDescent="0.25">
      <c r="A29">
        <v>28</v>
      </c>
      <c r="B29" s="2">
        <v>45951.322616928701</v>
      </c>
      <c r="C29" t="s">
        <v>14</v>
      </c>
      <c r="D29" t="s">
        <v>46</v>
      </c>
      <c r="E29" t="s">
        <v>170</v>
      </c>
      <c r="F29">
        <v>251.61</v>
      </c>
      <c r="G29" t="s">
        <v>182</v>
      </c>
      <c r="H29" t="s">
        <v>200</v>
      </c>
      <c r="I29" t="s">
        <v>206</v>
      </c>
      <c r="J29" t="s">
        <v>225</v>
      </c>
      <c r="K29" t="s">
        <v>235</v>
      </c>
      <c r="L29" t="s">
        <v>237</v>
      </c>
    </row>
    <row r="30" spans="1:12" x14ac:dyDescent="0.25">
      <c r="A30">
        <v>29</v>
      </c>
      <c r="B30" s="2">
        <v>45911.322616928701</v>
      </c>
      <c r="C30" t="s">
        <v>16</v>
      </c>
      <c r="D30" t="s">
        <v>47</v>
      </c>
      <c r="E30" t="s">
        <v>169</v>
      </c>
      <c r="F30">
        <v>4284.53</v>
      </c>
      <c r="G30" t="s">
        <v>187</v>
      </c>
      <c r="H30" t="s">
        <v>202</v>
      </c>
      <c r="I30" t="s">
        <v>206</v>
      </c>
      <c r="J30" t="s">
        <v>217</v>
      </c>
      <c r="K30" t="s">
        <v>235</v>
      </c>
      <c r="L30" t="s">
        <v>237</v>
      </c>
    </row>
    <row r="31" spans="1:12" x14ac:dyDescent="0.25">
      <c r="A31">
        <v>30</v>
      </c>
      <c r="B31" s="2">
        <v>45921.322616928701</v>
      </c>
      <c r="C31" t="s">
        <v>18</v>
      </c>
      <c r="D31" t="s">
        <v>48</v>
      </c>
      <c r="E31" t="s">
        <v>169</v>
      </c>
      <c r="F31">
        <v>3533.11</v>
      </c>
      <c r="G31" t="s">
        <v>181</v>
      </c>
      <c r="H31" t="s">
        <v>202</v>
      </c>
      <c r="I31" t="s">
        <v>207</v>
      </c>
      <c r="J31" t="s">
        <v>227</v>
      </c>
      <c r="K31" t="s">
        <v>235</v>
      </c>
      <c r="L31" t="s">
        <v>237</v>
      </c>
    </row>
    <row r="32" spans="1:12" x14ac:dyDescent="0.25">
      <c r="A32">
        <v>31</v>
      </c>
      <c r="B32" s="2">
        <v>46032.322616928701</v>
      </c>
      <c r="C32" t="s">
        <v>13</v>
      </c>
      <c r="D32" t="s">
        <v>49</v>
      </c>
      <c r="E32" t="s">
        <v>169</v>
      </c>
      <c r="F32">
        <v>2397.16</v>
      </c>
      <c r="G32" t="s">
        <v>188</v>
      </c>
      <c r="H32" t="s">
        <v>204</v>
      </c>
      <c r="I32" t="s">
        <v>206</v>
      </c>
      <c r="J32" t="s">
        <v>209</v>
      </c>
      <c r="K32" t="s">
        <v>235</v>
      </c>
      <c r="L32" t="s">
        <v>237</v>
      </c>
    </row>
    <row r="33" spans="1:12" x14ac:dyDescent="0.25">
      <c r="A33">
        <v>32</v>
      </c>
      <c r="B33" s="2">
        <v>45877.322616928701</v>
      </c>
      <c r="C33" t="s">
        <v>16</v>
      </c>
      <c r="D33" t="s">
        <v>50</v>
      </c>
      <c r="E33" t="s">
        <v>169</v>
      </c>
      <c r="F33">
        <v>534.28</v>
      </c>
      <c r="G33" t="s">
        <v>187</v>
      </c>
      <c r="H33" t="s">
        <v>205</v>
      </c>
      <c r="I33" t="s">
        <v>207</v>
      </c>
      <c r="J33" t="s">
        <v>228</v>
      </c>
      <c r="K33" t="s">
        <v>235</v>
      </c>
      <c r="L33" t="s">
        <v>237</v>
      </c>
    </row>
    <row r="34" spans="1:12" x14ac:dyDescent="0.25">
      <c r="A34">
        <v>33</v>
      </c>
      <c r="B34" s="2">
        <v>46037.322616928701</v>
      </c>
      <c r="C34" t="s">
        <v>14</v>
      </c>
      <c r="D34" t="s">
        <v>51</v>
      </c>
      <c r="E34" t="s">
        <v>169</v>
      </c>
      <c r="F34">
        <v>2483.5</v>
      </c>
      <c r="G34" t="s">
        <v>189</v>
      </c>
      <c r="H34" t="s">
        <v>201</v>
      </c>
      <c r="I34" t="s">
        <v>206</v>
      </c>
      <c r="J34" t="s">
        <v>222</v>
      </c>
      <c r="K34" t="s">
        <v>235</v>
      </c>
      <c r="L34" t="s">
        <v>237</v>
      </c>
    </row>
    <row r="35" spans="1:12" x14ac:dyDescent="0.25">
      <c r="A35">
        <v>34</v>
      </c>
      <c r="B35" s="2">
        <v>45913.322616928701</v>
      </c>
      <c r="C35" t="s">
        <v>13</v>
      </c>
      <c r="D35" t="s">
        <v>52</v>
      </c>
      <c r="E35" t="s">
        <v>171</v>
      </c>
      <c r="F35">
        <v>2393.69</v>
      </c>
      <c r="G35" t="s">
        <v>173</v>
      </c>
      <c r="H35" t="s">
        <v>201</v>
      </c>
      <c r="I35" t="s">
        <v>207</v>
      </c>
      <c r="J35" t="s">
        <v>224</v>
      </c>
      <c r="K35" t="s">
        <v>235</v>
      </c>
      <c r="L35" t="s">
        <v>237</v>
      </c>
    </row>
    <row r="36" spans="1:12" x14ac:dyDescent="0.25">
      <c r="A36">
        <v>35</v>
      </c>
      <c r="B36" s="2">
        <v>45970.322616928701</v>
      </c>
      <c r="C36" t="s">
        <v>12</v>
      </c>
      <c r="D36" t="s">
        <v>53</v>
      </c>
      <c r="E36" t="s">
        <v>170</v>
      </c>
      <c r="F36">
        <v>907.35</v>
      </c>
      <c r="G36" t="s">
        <v>186</v>
      </c>
      <c r="H36" t="s">
        <v>204</v>
      </c>
      <c r="I36" t="s">
        <v>207</v>
      </c>
      <c r="J36" t="s">
        <v>229</v>
      </c>
      <c r="K36" t="s">
        <v>235</v>
      </c>
      <c r="L36" t="s">
        <v>237</v>
      </c>
    </row>
    <row r="37" spans="1:12" x14ac:dyDescent="0.25">
      <c r="A37">
        <v>36</v>
      </c>
      <c r="B37" s="2">
        <v>45917.322616928701</v>
      </c>
      <c r="C37" t="s">
        <v>14</v>
      </c>
      <c r="D37" t="s">
        <v>54</v>
      </c>
      <c r="E37" t="s">
        <v>169</v>
      </c>
      <c r="F37">
        <v>2197.5700000000002</v>
      </c>
      <c r="G37" t="s">
        <v>174</v>
      </c>
      <c r="H37" t="s">
        <v>203</v>
      </c>
      <c r="I37" t="s">
        <v>207</v>
      </c>
      <c r="J37" t="s">
        <v>210</v>
      </c>
      <c r="K37" t="s">
        <v>235</v>
      </c>
      <c r="L37" t="s">
        <v>237</v>
      </c>
    </row>
    <row r="38" spans="1:12" x14ac:dyDescent="0.25">
      <c r="A38">
        <v>37</v>
      </c>
      <c r="B38" s="2">
        <v>45926.322616928701</v>
      </c>
      <c r="C38" t="s">
        <v>16</v>
      </c>
      <c r="D38" t="s">
        <v>55</v>
      </c>
      <c r="E38" t="s">
        <v>170</v>
      </c>
      <c r="F38">
        <v>2022.6</v>
      </c>
      <c r="G38" t="s">
        <v>190</v>
      </c>
      <c r="H38" t="s">
        <v>205</v>
      </c>
      <c r="I38" t="s">
        <v>206</v>
      </c>
      <c r="J38" t="s">
        <v>230</v>
      </c>
      <c r="K38" t="s">
        <v>235</v>
      </c>
      <c r="L38" t="s">
        <v>237</v>
      </c>
    </row>
    <row r="39" spans="1:12" x14ac:dyDescent="0.25">
      <c r="A39">
        <v>38</v>
      </c>
      <c r="B39" s="2">
        <v>45993.322616928701</v>
      </c>
      <c r="C39" t="s">
        <v>17</v>
      </c>
      <c r="D39" t="s">
        <v>56</v>
      </c>
      <c r="E39" t="s">
        <v>170</v>
      </c>
      <c r="F39">
        <v>3098.46</v>
      </c>
      <c r="G39" t="s">
        <v>180</v>
      </c>
      <c r="H39" t="s">
        <v>204</v>
      </c>
      <c r="I39" t="s">
        <v>207</v>
      </c>
      <c r="J39" t="s">
        <v>231</v>
      </c>
      <c r="K39" t="s">
        <v>235</v>
      </c>
      <c r="L39" t="s">
        <v>237</v>
      </c>
    </row>
    <row r="40" spans="1:12" x14ac:dyDescent="0.25">
      <c r="A40">
        <v>39</v>
      </c>
      <c r="B40" s="2">
        <v>45913.322616928701</v>
      </c>
      <c r="C40" t="s">
        <v>15</v>
      </c>
      <c r="D40" t="s">
        <v>57</v>
      </c>
      <c r="E40" t="s">
        <v>169</v>
      </c>
      <c r="F40">
        <v>3193.71</v>
      </c>
      <c r="G40" t="s">
        <v>185</v>
      </c>
      <c r="H40" t="s">
        <v>205</v>
      </c>
      <c r="I40" t="s">
        <v>207</v>
      </c>
      <c r="J40" t="s">
        <v>211</v>
      </c>
      <c r="K40" t="s">
        <v>235</v>
      </c>
      <c r="L40" t="s">
        <v>237</v>
      </c>
    </row>
    <row r="41" spans="1:12" x14ac:dyDescent="0.25">
      <c r="A41">
        <v>40</v>
      </c>
      <c r="B41" s="2">
        <v>45997.322616928701</v>
      </c>
      <c r="C41" t="s">
        <v>18</v>
      </c>
      <c r="D41" t="s">
        <v>58</v>
      </c>
      <c r="E41" t="s">
        <v>171</v>
      </c>
      <c r="F41">
        <v>274.25</v>
      </c>
      <c r="G41" t="s">
        <v>191</v>
      </c>
      <c r="H41" t="s">
        <v>205</v>
      </c>
      <c r="I41" t="s">
        <v>207</v>
      </c>
      <c r="J41" t="s">
        <v>219</v>
      </c>
      <c r="K41" t="s">
        <v>235</v>
      </c>
      <c r="L41" t="s">
        <v>237</v>
      </c>
    </row>
    <row r="42" spans="1:12" x14ac:dyDescent="0.25">
      <c r="A42">
        <v>41</v>
      </c>
      <c r="B42" s="2">
        <v>45883.322616928701</v>
      </c>
      <c r="C42" t="s">
        <v>16</v>
      </c>
      <c r="D42" t="s">
        <v>59</v>
      </c>
      <c r="E42" t="s">
        <v>169</v>
      </c>
      <c r="F42">
        <v>1904.33</v>
      </c>
      <c r="G42" t="s">
        <v>184</v>
      </c>
      <c r="H42" t="s">
        <v>205</v>
      </c>
      <c r="I42" t="s">
        <v>207</v>
      </c>
      <c r="J42" t="s">
        <v>223</v>
      </c>
      <c r="K42" t="s">
        <v>235</v>
      </c>
      <c r="L42" t="s">
        <v>237</v>
      </c>
    </row>
    <row r="43" spans="1:12" x14ac:dyDescent="0.25">
      <c r="A43">
        <v>42</v>
      </c>
      <c r="B43" s="2">
        <v>45935.322616928701</v>
      </c>
      <c r="C43" t="s">
        <v>13</v>
      </c>
      <c r="D43" t="s">
        <v>60</v>
      </c>
      <c r="E43" t="s">
        <v>171</v>
      </c>
      <c r="F43">
        <v>3148.01</v>
      </c>
      <c r="G43" t="s">
        <v>192</v>
      </c>
      <c r="H43" t="s">
        <v>204</v>
      </c>
      <c r="I43" t="s">
        <v>207</v>
      </c>
      <c r="J43" t="s">
        <v>216</v>
      </c>
      <c r="K43" t="s">
        <v>235</v>
      </c>
      <c r="L43" t="s">
        <v>237</v>
      </c>
    </row>
    <row r="44" spans="1:12" x14ac:dyDescent="0.25">
      <c r="A44">
        <v>43</v>
      </c>
      <c r="B44" s="2">
        <v>46029.322616928701</v>
      </c>
      <c r="C44" t="s">
        <v>14</v>
      </c>
      <c r="D44" t="s">
        <v>61</v>
      </c>
      <c r="E44" t="s">
        <v>170</v>
      </c>
      <c r="F44">
        <v>2540.52</v>
      </c>
      <c r="G44" t="s">
        <v>182</v>
      </c>
      <c r="H44" t="s">
        <v>201</v>
      </c>
      <c r="I44" t="s">
        <v>206</v>
      </c>
      <c r="J44" t="s">
        <v>210</v>
      </c>
      <c r="K44" t="s">
        <v>235</v>
      </c>
      <c r="L44" t="s">
        <v>237</v>
      </c>
    </row>
    <row r="45" spans="1:12" x14ac:dyDescent="0.25">
      <c r="A45">
        <v>44</v>
      </c>
      <c r="B45" s="2">
        <v>45880.322616928701</v>
      </c>
      <c r="C45" t="s">
        <v>15</v>
      </c>
      <c r="D45" t="s">
        <v>62</v>
      </c>
      <c r="E45" t="s">
        <v>171</v>
      </c>
      <c r="F45">
        <v>4289.62</v>
      </c>
      <c r="G45" t="s">
        <v>178</v>
      </c>
      <c r="H45" t="s">
        <v>201</v>
      </c>
      <c r="I45" t="s">
        <v>207</v>
      </c>
      <c r="J45" t="s">
        <v>212</v>
      </c>
      <c r="K45" t="s">
        <v>235</v>
      </c>
      <c r="L45" t="s">
        <v>237</v>
      </c>
    </row>
    <row r="46" spans="1:12" x14ac:dyDescent="0.25">
      <c r="A46">
        <v>45</v>
      </c>
      <c r="B46" s="2">
        <v>45994.322616928701</v>
      </c>
      <c r="C46" t="s">
        <v>14</v>
      </c>
      <c r="D46" t="s">
        <v>63</v>
      </c>
      <c r="E46" t="s">
        <v>171</v>
      </c>
      <c r="F46">
        <v>3310.53</v>
      </c>
      <c r="G46" t="s">
        <v>183</v>
      </c>
      <c r="H46" t="s">
        <v>205</v>
      </c>
      <c r="I46" t="s">
        <v>207</v>
      </c>
      <c r="J46" t="s">
        <v>222</v>
      </c>
      <c r="K46" t="s">
        <v>235</v>
      </c>
      <c r="L46" t="s">
        <v>237</v>
      </c>
    </row>
    <row r="47" spans="1:12" x14ac:dyDescent="0.25">
      <c r="A47">
        <v>46</v>
      </c>
      <c r="B47" s="2">
        <v>45951.322616928701</v>
      </c>
      <c r="C47" t="s">
        <v>13</v>
      </c>
      <c r="D47" t="s">
        <v>64</v>
      </c>
      <c r="E47" t="s">
        <v>171</v>
      </c>
      <c r="F47">
        <v>856.53</v>
      </c>
      <c r="G47" t="s">
        <v>192</v>
      </c>
      <c r="H47" t="s">
        <v>203</v>
      </c>
      <c r="I47" t="s">
        <v>207</v>
      </c>
      <c r="J47" t="s">
        <v>209</v>
      </c>
      <c r="K47" t="s">
        <v>235</v>
      </c>
      <c r="L47" t="s">
        <v>237</v>
      </c>
    </row>
    <row r="48" spans="1:12" x14ac:dyDescent="0.25">
      <c r="A48">
        <v>47</v>
      </c>
      <c r="B48" s="2">
        <v>45922.322616928701</v>
      </c>
      <c r="C48" t="s">
        <v>14</v>
      </c>
      <c r="D48" t="s">
        <v>65</v>
      </c>
      <c r="E48" t="s">
        <v>170</v>
      </c>
      <c r="F48">
        <v>399.32</v>
      </c>
      <c r="G48" t="s">
        <v>189</v>
      </c>
      <c r="H48" t="s">
        <v>200</v>
      </c>
      <c r="I48" t="s">
        <v>207</v>
      </c>
      <c r="J48" t="s">
        <v>222</v>
      </c>
      <c r="K48" t="s">
        <v>235</v>
      </c>
      <c r="L48" t="s">
        <v>237</v>
      </c>
    </row>
    <row r="49" spans="1:12" x14ac:dyDescent="0.25">
      <c r="A49">
        <v>48</v>
      </c>
      <c r="B49" s="2">
        <v>45876.322616928701</v>
      </c>
      <c r="C49" t="s">
        <v>17</v>
      </c>
      <c r="D49" t="s">
        <v>66</v>
      </c>
      <c r="E49" t="s">
        <v>170</v>
      </c>
      <c r="F49">
        <v>3229.98</v>
      </c>
      <c r="G49" t="s">
        <v>193</v>
      </c>
      <c r="H49" t="s">
        <v>204</v>
      </c>
      <c r="I49" t="s">
        <v>207</v>
      </c>
      <c r="J49" t="s">
        <v>232</v>
      </c>
      <c r="K49" t="s">
        <v>235</v>
      </c>
      <c r="L49" t="s">
        <v>237</v>
      </c>
    </row>
    <row r="50" spans="1:12" x14ac:dyDescent="0.25">
      <c r="A50">
        <v>49</v>
      </c>
      <c r="B50" s="2">
        <v>45871.322616928701</v>
      </c>
      <c r="C50" t="s">
        <v>15</v>
      </c>
      <c r="D50" t="s">
        <v>67</v>
      </c>
      <c r="E50" t="s">
        <v>171</v>
      </c>
      <c r="F50">
        <v>181.23</v>
      </c>
      <c r="G50" t="s">
        <v>178</v>
      </c>
      <c r="H50" t="s">
        <v>200</v>
      </c>
      <c r="I50" t="s">
        <v>207</v>
      </c>
      <c r="J50" t="s">
        <v>214</v>
      </c>
      <c r="K50" t="s">
        <v>235</v>
      </c>
      <c r="L50" t="s">
        <v>237</v>
      </c>
    </row>
    <row r="51" spans="1:12" x14ac:dyDescent="0.25">
      <c r="A51">
        <v>50</v>
      </c>
      <c r="B51" s="2">
        <v>45952.322616928701</v>
      </c>
      <c r="C51" t="s">
        <v>15</v>
      </c>
      <c r="D51" t="s">
        <v>68</v>
      </c>
      <c r="E51" t="s">
        <v>171</v>
      </c>
      <c r="F51">
        <v>2949.59</v>
      </c>
      <c r="G51" t="s">
        <v>194</v>
      </c>
      <c r="H51" t="s">
        <v>203</v>
      </c>
      <c r="I51" t="s">
        <v>206</v>
      </c>
      <c r="J51" t="s">
        <v>213</v>
      </c>
      <c r="K51" t="s">
        <v>236</v>
      </c>
      <c r="L51" t="s">
        <v>237</v>
      </c>
    </row>
    <row r="52" spans="1:12" x14ac:dyDescent="0.25">
      <c r="A52">
        <v>51</v>
      </c>
      <c r="B52" s="2">
        <v>45915.322616928701</v>
      </c>
      <c r="C52" t="s">
        <v>13</v>
      </c>
      <c r="D52" t="s">
        <v>69</v>
      </c>
      <c r="E52" t="s">
        <v>169</v>
      </c>
      <c r="F52">
        <v>4704.1400000000003</v>
      </c>
      <c r="G52" t="s">
        <v>188</v>
      </c>
      <c r="H52" t="s">
        <v>204</v>
      </c>
      <c r="I52" t="s">
        <v>207</v>
      </c>
      <c r="J52" t="s">
        <v>224</v>
      </c>
      <c r="K52" t="s">
        <v>235</v>
      </c>
      <c r="L52" t="s">
        <v>237</v>
      </c>
    </row>
    <row r="53" spans="1:12" x14ac:dyDescent="0.25">
      <c r="A53">
        <v>52</v>
      </c>
      <c r="B53" s="2">
        <v>45992.322616928701</v>
      </c>
      <c r="C53" t="s">
        <v>18</v>
      </c>
      <c r="D53" t="s">
        <v>70</v>
      </c>
      <c r="E53" t="s">
        <v>171</v>
      </c>
      <c r="F53">
        <v>2898.6</v>
      </c>
      <c r="G53" t="s">
        <v>195</v>
      </c>
      <c r="H53" t="s">
        <v>205</v>
      </c>
      <c r="I53" t="s">
        <v>207</v>
      </c>
      <c r="J53" t="s">
        <v>221</v>
      </c>
      <c r="K53" t="s">
        <v>235</v>
      </c>
      <c r="L53" t="s">
        <v>237</v>
      </c>
    </row>
    <row r="54" spans="1:12" x14ac:dyDescent="0.25">
      <c r="A54">
        <v>53</v>
      </c>
      <c r="B54" s="2">
        <v>45946.322616928701</v>
      </c>
      <c r="C54" t="s">
        <v>17</v>
      </c>
      <c r="D54" t="s">
        <v>71</v>
      </c>
      <c r="E54" t="s">
        <v>169</v>
      </c>
      <c r="F54">
        <v>1971.44</v>
      </c>
      <c r="G54" t="s">
        <v>180</v>
      </c>
      <c r="H54" t="s">
        <v>201</v>
      </c>
      <c r="I54" t="s">
        <v>207</v>
      </c>
      <c r="J54" t="s">
        <v>218</v>
      </c>
      <c r="K54" t="s">
        <v>235</v>
      </c>
      <c r="L54" t="s">
        <v>237</v>
      </c>
    </row>
    <row r="55" spans="1:12" x14ac:dyDescent="0.25">
      <c r="A55">
        <v>54</v>
      </c>
      <c r="B55" s="2">
        <v>45954.322616928701</v>
      </c>
      <c r="C55" t="s">
        <v>16</v>
      </c>
      <c r="D55" t="s">
        <v>72</v>
      </c>
      <c r="E55" t="s">
        <v>171</v>
      </c>
      <c r="F55">
        <v>3234.28</v>
      </c>
      <c r="G55" t="s">
        <v>179</v>
      </c>
      <c r="H55" t="s">
        <v>200</v>
      </c>
      <c r="I55" t="s">
        <v>207</v>
      </c>
      <c r="J55" t="s">
        <v>230</v>
      </c>
      <c r="K55" t="s">
        <v>235</v>
      </c>
      <c r="L55" t="s">
        <v>237</v>
      </c>
    </row>
    <row r="56" spans="1:12" x14ac:dyDescent="0.25">
      <c r="A56">
        <v>55</v>
      </c>
      <c r="B56" s="2">
        <v>45973.322616928701</v>
      </c>
      <c r="C56" t="s">
        <v>14</v>
      </c>
      <c r="D56" t="s">
        <v>73</v>
      </c>
      <c r="E56" t="s">
        <v>169</v>
      </c>
      <c r="F56">
        <v>2318.35</v>
      </c>
      <c r="G56" t="s">
        <v>189</v>
      </c>
      <c r="H56" t="s">
        <v>202</v>
      </c>
      <c r="I56" t="s">
        <v>206</v>
      </c>
      <c r="J56" t="s">
        <v>210</v>
      </c>
      <c r="K56" t="s">
        <v>235</v>
      </c>
      <c r="L56" t="s">
        <v>237</v>
      </c>
    </row>
    <row r="57" spans="1:12" x14ac:dyDescent="0.25">
      <c r="A57">
        <v>56</v>
      </c>
      <c r="B57" s="2">
        <v>46034.322616928701</v>
      </c>
      <c r="C57" t="s">
        <v>12</v>
      </c>
      <c r="D57" t="s">
        <v>74</v>
      </c>
      <c r="E57" t="s">
        <v>170</v>
      </c>
      <c r="F57">
        <v>2750.8</v>
      </c>
      <c r="G57" t="s">
        <v>175</v>
      </c>
      <c r="H57" t="s">
        <v>202</v>
      </c>
      <c r="I57" t="s">
        <v>207</v>
      </c>
      <c r="J57" t="s">
        <v>229</v>
      </c>
      <c r="K57" t="s">
        <v>235</v>
      </c>
      <c r="L57" t="s">
        <v>237</v>
      </c>
    </row>
    <row r="58" spans="1:12" x14ac:dyDescent="0.25">
      <c r="A58">
        <v>57</v>
      </c>
      <c r="B58" s="2">
        <v>45870.322616928701</v>
      </c>
      <c r="C58" t="s">
        <v>14</v>
      </c>
      <c r="D58" t="s">
        <v>75</v>
      </c>
      <c r="E58" t="s">
        <v>171</v>
      </c>
      <c r="F58">
        <v>4710.25</v>
      </c>
      <c r="G58" t="s">
        <v>183</v>
      </c>
      <c r="H58" t="s">
        <v>203</v>
      </c>
      <c r="I58" t="s">
        <v>207</v>
      </c>
      <c r="J58" t="s">
        <v>220</v>
      </c>
      <c r="K58" t="s">
        <v>235</v>
      </c>
      <c r="L58" t="s">
        <v>237</v>
      </c>
    </row>
    <row r="59" spans="1:12" x14ac:dyDescent="0.25">
      <c r="A59">
        <v>58</v>
      </c>
      <c r="B59" s="2">
        <v>46037.322616928701</v>
      </c>
      <c r="C59" t="s">
        <v>14</v>
      </c>
      <c r="D59" t="s">
        <v>76</v>
      </c>
      <c r="E59" t="s">
        <v>171</v>
      </c>
      <c r="F59">
        <v>1961.21</v>
      </c>
      <c r="G59" t="s">
        <v>174</v>
      </c>
      <c r="H59" t="s">
        <v>205</v>
      </c>
      <c r="I59" t="s">
        <v>207</v>
      </c>
      <c r="J59" t="s">
        <v>210</v>
      </c>
      <c r="K59" t="s">
        <v>235</v>
      </c>
      <c r="L59" t="s">
        <v>237</v>
      </c>
    </row>
    <row r="60" spans="1:12" x14ac:dyDescent="0.25">
      <c r="A60">
        <v>59</v>
      </c>
      <c r="B60" s="2">
        <v>45897.322616928701</v>
      </c>
      <c r="C60" t="s">
        <v>16</v>
      </c>
      <c r="D60" t="s">
        <v>77</v>
      </c>
      <c r="E60" t="s">
        <v>171</v>
      </c>
      <c r="F60">
        <v>4807.8900000000003</v>
      </c>
      <c r="G60" t="s">
        <v>196</v>
      </c>
      <c r="H60" t="s">
        <v>200</v>
      </c>
      <c r="I60" t="s">
        <v>206</v>
      </c>
      <c r="J60" t="s">
        <v>230</v>
      </c>
      <c r="K60" t="s">
        <v>235</v>
      </c>
      <c r="L60" t="s">
        <v>237</v>
      </c>
    </row>
    <row r="61" spans="1:12" x14ac:dyDescent="0.25">
      <c r="A61">
        <v>60</v>
      </c>
      <c r="B61" s="2">
        <v>45943.322616928701</v>
      </c>
      <c r="C61" t="s">
        <v>14</v>
      </c>
      <c r="D61" t="s">
        <v>78</v>
      </c>
      <c r="E61" t="s">
        <v>171</v>
      </c>
      <c r="F61">
        <v>4531.49</v>
      </c>
      <c r="G61" t="s">
        <v>174</v>
      </c>
      <c r="H61" t="s">
        <v>205</v>
      </c>
      <c r="I61" t="s">
        <v>207</v>
      </c>
      <c r="J61" t="s">
        <v>225</v>
      </c>
      <c r="K61" t="s">
        <v>235</v>
      </c>
      <c r="L61" t="s">
        <v>237</v>
      </c>
    </row>
    <row r="62" spans="1:12" x14ac:dyDescent="0.25">
      <c r="A62">
        <v>61</v>
      </c>
      <c r="B62" s="2">
        <v>46026.322616928701</v>
      </c>
      <c r="C62" t="s">
        <v>17</v>
      </c>
      <c r="D62" t="s">
        <v>79</v>
      </c>
      <c r="E62" t="s">
        <v>169</v>
      </c>
      <c r="F62">
        <v>1019.17</v>
      </c>
      <c r="G62" t="s">
        <v>193</v>
      </c>
      <c r="H62" t="s">
        <v>200</v>
      </c>
      <c r="I62" t="s">
        <v>207</v>
      </c>
      <c r="J62" t="s">
        <v>218</v>
      </c>
      <c r="K62" t="s">
        <v>235</v>
      </c>
      <c r="L62" t="s">
        <v>237</v>
      </c>
    </row>
    <row r="63" spans="1:12" x14ac:dyDescent="0.25">
      <c r="A63">
        <v>62</v>
      </c>
      <c r="B63" s="2">
        <v>45912.322616928701</v>
      </c>
      <c r="C63" t="s">
        <v>17</v>
      </c>
      <c r="D63" t="s">
        <v>80</v>
      </c>
      <c r="E63" t="s">
        <v>171</v>
      </c>
      <c r="F63">
        <v>393.34</v>
      </c>
      <c r="G63" t="s">
        <v>197</v>
      </c>
      <c r="H63" t="s">
        <v>203</v>
      </c>
      <c r="I63" t="s">
        <v>206</v>
      </c>
      <c r="J63" t="s">
        <v>232</v>
      </c>
      <c r="K63" t="s">
        <v>235</v>
      </c>
      <c r="L63" t="s">
        <v>237</v>
      </c>
    </row>
    <row r="64" spans="1:12" x14ac:dyDescent="0.25">
      <c r="A64">
        <v>63</v>
      </c>
      <c r="B64" s="2">
        <v>45966.322616928701</v>
      </c>
      <c r="C64" t="s">
        <v>15</v>
      </c>
      <c r="D64" t="s">
        <v>81</v>
      </c>
      <c r="E64" t="s">
        <v>170</v>
      </c>
      <c r="F64">
        <v>548.85</v>
      </c>
      <c r="G64" t="s">
        <v>185</v>
      </c>
      <c r="H64" t="s">
        <v>203</v>
      </c>
      <c r="I64" t="s">
        <v>207</v>
      </c>
      <c r="J64" t="s">
        <v>213</v>
      </c>
      <c r="K64" t="s">
        <v>235</v>
      </c>
      <c r="L64" t="s">
        <v>237</v>
      </c>
    </row>
    <row r="65" spans="1:12" x14ac:dyDescent="0.25">
      <c r="A65">
        <v>64</v>
      </c>
      <c r="B65" s="2">
        <v>45994.322616928701</v>
      </c>
      <c r="C65" t="s">
        <v>13</v>
      </c>
      <c r="D65" t="s">
        <v>82</v>
      </c>
      <c r="E65" t="s">
        <v>170</v>
      </c>
      <c r="F65">
        <v>140.19999999999999</v>
      </c>
      <c r="G65" t="s">
        <v>173</v>
      </c>
      <c r="H65" t="s">
        <v>202</v>
      </c>
      <c r="I65" t="s">
        <v>206</v>
      </c>
      <c r="J65" t="s">
        <v>215</v>
      </c>
      <c r="K65" t="s">
        <v>235</v>
      </c>
      <c r="L65" t="s">
        <v>237</v>
      </c>
    </row>
    <row r="66" spans="1:12" x14ac:dyDescent="0.25">
      <c r="A66">
        <v>65</v>
      </c>
      <c r="B66" s="2">
        <v>45864.322616928701</v>
      </c>
      <c r="C66" t="s">
        <v>18</v>
      </c>
      <c r="D66" t="s">
        <v>83</v>
      </c>
      <c r="E66" t="s">
        <v>171</v>
      </c>
      <c r="F66">
        <v>517.49</v>
      </c>
      <c r="G66" t="s">
        <v>198</v>
      </c>
      <c r="H66" t="s">
        <v>205</v>
      </c>
      <c r="I66" t="s">
        <v>206</v>
      </c>
      <c r="J66" t="s">
        <v>227</v>
      </c>
      <c r="K66" t="s">
        <v>236</v>
      </c>
      <c r="L66" t="s">
        <v>237</v>
      </c>
    </row>
    <row r="67" spans="1:12" x14ac:dyDescent="0.25">
      <c r="A67">
        <v>66</v>
      </c>
      <c r="B67" s="2">
        <v>45996.322616928701</v>
      </c>
      <c r="C67" t="s">
        <v>12</v>
      </c>
      <c r="D67" t="s">
        <v>84</v>
      </c>
      <c r="E67" t="s">
        <v>170</v>
      </c>
      <c r="F67">
        <v>3430.88</v>
      </c>
      <c r="G67" t="s">
        <v>175</v>
      </c>
      <c r="H67" t="s">
        <v>204</v>
      </c>
      <c r="I67" t="s">
        <v>207</v>
      </c>
      <c r="J67" t="s">
        <v>229</v>
      </c>
      <c r="K67" t="s">
        <v>235</v>
      </c>
      <c r="L67" t="s">
        <v>237</v>
      </c>
    </row>
    <row r="68" spans="1:12" x14ac:dyDescent="0.25">
      <c r="A68">
        <v>67</v>
      </c>
      <c r="B68" s="2">
        <v>45916.322616928701</v>
      </c>
      <c r="C68" t="s">
        <v>14</v>
      </c>
      <c r="D68" t="s">
        <v>85</v>
      </c>
      <c r="E68" t="s">
        <v>171</v>
      </c>
      <c r="F68">
        <v>402.38</v>
      </c>
      <c r="G68" t="s">
        <v>183</v>
      </c>
      <c r="H68" t="s">
        <v>202</v>
      </c>
      <c r="I68" t="s">
        <v>207</v>
      </c>
      <c r="J68" t="s">
        <v>222</v>
      </c>
      <c r="K68" t="s">
        <v>235</v>
      </c>
      <c r="L68" t="s">
        <v>237</v>
      </c>
    </row>
    <row r="69" spans="1:12" x14ac:dyDescent="0.25">
      <c r="A69">
        <v>68</v>
      </c>
      <c r="B69" s="2">
        <v>45968.322616928701</v>
      </c>
      <c r="C69" t="s">
        <v>14</v>
      </c>
      <c r="D69" t="s">
        <v>86</v>
      </c>
      <c r="E69" t="s">
        <v>171</v>
      </c>
      <c r="F69">
        <v>1628.93</v>
      </c>
      <c r="G69" t="s">
        <v>174</v>
      </c>
      <c r="H69" t="s">
        <v>205</v>
      </c>
      <c r="I69" t="s">
        <v>207</v>
      </c>
      <c r="J69" t="s">
        <v>225</v>
      </c>
      <c r="K69" t="s">
        <v>235</v>
      </c>
      <c r="L69" t="s">
        <v>237</v>
      </c>
    </row>
    <row r="70" spans="1:12" x14ac:dyDescent="0.25">
      <c r="A70">
        <v>69</v>
      </c>
      <c r="B70" s="2">
        <v>45866.322616928701</v>
      </c>
      <c r="C70" t="s">
        <v>16</v>
      </c>
      <c r="D70" t="s">
        <v>87</v>
      </c>
      <c r="E70" t="s">
        <v>170</v>
      </c>
      <c r="F70">
        <v>4232.13</v>
      </c>
      <c r="G70" t="s">
        <v>184</v>
      </c>
      <c r="H70" t="s">
        <v>202</v>
      </c>
      <c r="I70" t="s">
        <v>207</v>
      </c>
      <c r="J70" t="s">
        <v>223</v>
      </c>
      <c r="K70" t="s">
        <v>235</v>
      </c>
      <c r="L70" t="s">
        <v>237</v>
      </c>
    </row>
    <row r="71" spans="1:12" x14ac:dyDescent="0.25">
      <c r="A71">
        <v>70</v>
      </c>
      <c r="B71" s="2">
        <v>45916.322616928701</v>
      </c>
      <c r="C71" t="s">
        <v>13</v>
      </c>
      <c r="D71" t="s">
        <v>88</v>
      </c>
      <c r="E71" t="s">
        <v>171</v>
      </c>
      <c r="F71">
        <v>165.2</v>
      </c>
      <c r="G71" t="s">
        <v>173</v>
      </c>
      <c r="H71" t="s">
        <v>204</v>
      </c>
      <c r="I71" t="s">
        <v>207</v>
      </c>
      <c r="J71" t="s">
        <v>216</v>
      </c>
      <c r="K71" t="s">
        <v>236</v>
      </c>
      <c r="L71" t="s">
        <v>237</v>
      </c>
    </row>
    <row r="72" spans="1:12" x14ac:dyDescent="0.25">
      <c r="A72">
        <v>71</v>
      </c>
      <c r="B72" s="2">
        <v>46008.322616928701</v>
      </c>
      <c r="C72" t="s">
        <v>17</v>
      </c>
      <c r="D72" t="s">
        <v>89</v>
      </c>
      <c r="E72" t="s">
        <v>170</v>
      </c>
      <c r="F72">
        <v>4081.62</v>
      </c>
      <c r="G72" t="s">
        <v>193</v>
      </c>
      <c r="H72" t="s">
        <v>201</v>
      </c>
      <c r="I72" t="s">
        <v>207</v>
      </c>
      <c r="J72" t="s">
        <v>231</v>
      </c>
      <c r="K72" t="s">
        <v>235</v>
      </c>
      <c r="L72" t="s">
        <v>237</v>
      </c>
    </row>
    <row r="73" spans="1:12" x14ac:dyDescent="0.25">
      <c r="A73">
        <v>72</v>
      </c>
      <c r="B73" s="2">
        <v>45906.322616928701</v>
      </c>
      <c r="C73" t="s">
        <v>12</v>
      </c>
      <c r="D73" t="s">
        <v>90</v>
      </c>
      <c r="E73" t="s">
        <v>169</v>
      </c>
      <c r="F73">
        <v>1445.18</v>
      </c>
      <c r="G73" t="s">
        <v>186</v>
      </c>
      <c r="H73" t="s">
        <v>201</v>
      </c>
      <c r="I73" t="s">
        <v>207</v>
      </c>
      <c r="J73" t="s">
        <v>233</v>
      </c>
      <c r="K73" t="s">
        <v>235</v>
      </c>
      <c r="L73" t="s">
        <v>237</v>
      </c>
    </row>
    <row r="74" spans="1:12" x14ac:dyDescent="0.25">
      <c r="A74">
        <v>73</v>
      </c>
      <c r="B74" s="2">
        <v>46024.322616928701</v>
      </c>
      <c r="C74" t="s">
        <v>15</v>
      </c>
      <c r="D74" t="s">
        <v>91</v>
      </c>
      <c r="E74" t="s">
        <v>171</v>
      </c>
      <c r="F74">
        <v>634.91999999999996</v>
      </c>
      <c r="G74" t="s">
        <v>185</v>
      </c>
      <c r="H74" t="s">
        <v>201</v>
      </c>
      <c r="I74" t="s">
        <v>207</v>
      </c>
      <c r="J74" t="s">
        <v>211</v>
      </c>
      <c r="K74" t="s">
        <v>235</v>
      </c>
      <c r="L74" t="s">
        <v>237</v>
      </c>
    </row>
    <row r="75" spans="1:12" x14ac:dyDescent="0.25">
      <c r="A75">
        <v>74</v>
      </c>
      <c r="B75" s="2">
        <v>45876.322616928701</v>
      </c>
      <c r="C75" t="s">
        <v>17</v>
      </c>
      <c r="D75" t="s">
        <v>92</v>
      </c>
      <c r="E75" t="s">
        <v>169</v>
      </c>
      <c r="F75">
        <v>3498.85</v>
      </c>
      <c r="G75" t="s">
        <v>180</v>
      </c>
      <c r="H75" t="s">
        <v>201</v>
      </c>
      <c r="I75" t="s">
        <v>207</v>
      </c>
      <c r="J75" t="s">
        <v>232</v>
      </c>
      <c r="K75" t="s">
        <v>235</v>
      </c>
      <c r="L75" t="s">
        <v>237</v>
      </c>
    </row>
    <row r="76" spans="1:12" x14ac:dyDescent="0.25">
      <c r="A76">
        <v>75</v>
      </c>
      <c r="B76" s="2">
        <v>45957.322616928701</v>
      </c>
      <c r="C76" t="s">
        <v>13</v>
      </c>
      <c r="D76" t="s">
        <v>93</v>
      </c>
      <c r="E76" t="s">
        <v>170</v>
      </c>
      <c r="F76">
        <v>3163.27</v>
      </c>
      <c r="G76" t="s">
        <v>188</v>
      </c>
      <c r="H76" t="s">
        <v>200</v>
      </c>
      <c r="I76" t="s">
        <v>207</v>
      </c>
      <c r="J76" t="s">
        <v>224</v>
      </c>
      <c r="K76" t="s">
        <v>235</v>
      </c>
      <c r="L76" t="s">
        <v>237</v>
      </c>
    </row>
    <row r="77" spans="1:12" x14ac:dyDescent="0.25">
      <c r="A77">
        <v>76</v>
      </c>
      <c r="B77" s="2">
        <v>45910.322616928701</v>
      </c>
      <c r="C77" t="s">
        <v>18</v>
      </c>
      <c r="D77" t="s">
        <v>94</v>
      </c>
      <c r="E77" t="s">
        <v>169</v>
      </c>
      <c r="F77">
        <v>4393.49</v>
      </c>
      <c r="G77" t="s">
        <v>195</v>
      </c>
      <c r="H77" t="s">
        <v>201</v>
      </c>
      <c r="I77" t="s">
        <v>207</v>
      </c>
      <c r="J77" t="s">
        <v>219</v>
      </c>
      <c r="K77" t="s">
        <v>235</v>
      </c>
      <c r="L77" t="s">
        <v>237</v>
      </c>
    </row>
    <row r="78" spans="1:12" x14ac:dyDescent="0.25">
      <c r="A78">
        <v>77</v>
      </c>
      <c r="B78" s="2">
        <v>45877.322616928701</v>
      </c>
      <c r="C78" t="s">
        <v>15</v>
      </c>
      <c r="D78" t="s">
        <v>95</v>
      </c>
      <c r="E78" t="s">
        <v>169</v>
      </c>
      <c r="F78">
        <v>3688.6</v>
      </c>
      <c r="G78" t="s">
        <v>178</v>
      </c>
      <c r="H78" t="s">
        <v>204</v>
      </c>
      <c r="I78" t="s">
        <v>207</v>
      </c>
      <c r="J78" t="s">
        <v>213</v>
      </c>
      <c r="K78" t="s">
        <v>235</v>
      </c>
      <c r="L78" t="s">
        <v>237</v>
      </c>
    </row>
    <row r="79" spans="1:12" x14ac:dyDescent="0.25">
      <c r="A79">
        <v>78</v>
      </c>
      <c r="B79" s="2">
        <v>45902.322616928701</v>
      </c>
      <c r="C79" t="s">
        <v>18</v>
      </c>
      <c r="D79" t="s">
        <v>96</v>
      </c>
      <c r="E79" t="s">
        <v>170</v>
      </c>
      <c r="F79">
        <v>4027.23</v>
      </c>
      <c r="G79" t="s">
        <v>191</v>
      </c>
      <c r="H79" t="s">
        <v>203</v>
      </c>
      <c r="I79" t="s">
        <v>207</v>
      </c>
      <c r="J79" t="s">
        <v>221</v>
      </c>
      <c r="K79" t="s">
        <v>235</v>
      </c>
      <c r="L79" t="s">
        <v>237</v>
      </c>
    </row>
    <row r="80" spans="1:12" x14ac:dyDescent="0.25">
      <c r="A80">
        <v>79</v>
      </c>
      <c r="B80" s="2">
        <v>45944.322616928701</v>
      </c>
      <c r="C80" t="s">
        <v>16</v>
      </c>
      <c r="D80" t="s">
        <v>97</v>
      </c>
      <c r="E80" t="s">
        <v>169</v>
      </c>
      <c r="F80">
        <v>1446.07</v>
      </c>
      <c r="G80" t="s">
        <v>179</v>
      </c>
      <c r="H80" t="s">
        <v>203</v>
      </c>
      <c r="I80" t="s">
        <v>206</v>
      </c>
      <c r="J80" t="s">
        <v>217</v>
      </c>
      <c r="K80" t="s">
        <v>235</v>
      </c>
      <c r="L80" t="s">
        <v>237</v>
      </c>
    </row>
    <row r="81" spans="1:12" x14ac:dyDescent="0.25">
      <c r="A81">
        <v>80</v>
      </c>
      <c r="B81" s="2">
        <v>45973.322616928701</v>
      </c>
      <c r="C81" t="s">
        <v>16</v>
      </c>
      <c r="D81" t="s">
        <v>98</v>
      </c>
      <c r="E81" t="s">
        <v>169</v>
      </c>
      <c r="F81">
        <v>928.33</v>
      </c>
      <c r="G81" t="s">
        <v>187</v>
      </c>
      <c r="H81" t="s">
        <v>200</v>
      </c>
      <c r="I81" t="s">
        <v>207</v>
      </c>
      <c r="J81" t="s">
        <v>228</v>
      </c>
      <c r="K81" t="s">
        <v>236</v>
      </c>
      <c r="L81" t="s">
        <v>237</v>
      </c>
    </row>
    <row r="82" spans="1:12" x14ac:dyDescent="0.25">
      <c r="A82">
        <v>81</v>
      </c>
      <c r="B82" s="2">
        <v>45915.322616928701</v>
      </c>
      <c r="C82" t="s">
        <v>14</v>
      </c>
      <c r="D82" t="s">
        <v>99</v>
      </c>
      <c r="E82" t="s">
        <v>170</v>
      </c>
      <c r="F82">
        <v>3765.54</v>
      </c>
      <c r="G82" t="s">
        <v>174</v>
      </c>
      <c r="H82" t="s">
        <v>201</v>
      </c>
      <c r="I82" t="s">
        <v>207</v>
      </c>
      <c r="J82" t="s">
        <v>222</v>
      </c>
      <c r="K82" t="s">
        <v>235</v>
      </c>
      <c r="L82" t="s">
        <v>237</v>
      </c>
    </row>
    <row r="83" spans="1:12" x14ac:dyDescent="0.25">
      <c r="A83">
        <v>82</v>
      </c>
      <c r="B83" s="2">
        <v>45886.322616928701</v>
      </c>
      <c r="C83" t="s">
        <v>18</v>
      </c>
      <c r="D83" t="s">
        <v>100</v>
      </c>
      <c r="E83" t="s">
        <v>169</v>
      </c>
      <c r="F83">
        <v>4043.83</v>
      </c>
      <c r="G83" t="s">
        <v>191</v>
      </c>
      <c r="H83" t="s">
        <v>201</v>
      </c>
      <c r="I83" t="s">
        <v>206</v>
      </c>
      <c r="J83" t="s">
        <v>234</v>
      </c>
      <c r="K83" t="s">
        <v>235</v>
      </c>
      <c r="L83" t="s">
        <v>237</v>
      </c>
    </row>
    <row r="84" spans="1:12" x14ac:dyDescent="0.25">
      <c r="A84">
        <v>83</v>
      </c>
      <c r="B84" s="2">
        <v>46016.322616928701</v>
      </c>
      <c r="C84" t="s">
        <v>13</v>
      </c>
      <c r="D84" t="s">
        <v>101</v>
      </c>
      <c r="E84" t="s">
        <v>170</v>
      </c>
      <c r="F84">
        <v>4953</v>
      </c>
      <c r="G84" t="s">
        <v>173</v>
      </c>
      <c r="H84" t="s">
        <v>201</v>
      </c>
      <c r="I84" t="s">
        <v>206</v>
      </c>
      <c r="J84" t="s">
        <v>215</v>
      </c>
      <c r="K84" t="s">
        <v>235</v>
      </c>
      <c r="L84" t="s">
        <v>237</v>
      </c>
    </row>
    <row r="85" spans="1:12" x14ac:dyDescent="0.25">
      <c r="A85">
        <v>84</v>
      </c>
      <c r="B85" s="2">
        <v>45986.322616928701</v>
      </c>
      <c r="C85" t="s">
        <v>12</v>
      </c>
      <c r="D85" t="s">
        <v>102</v>
      </c>
      <c r="E85" t="s">
        <v>169</v>
      </c>
      <c r="F85">
        <v>2092.46</v>
      </c>
      <c r="G85" t="s">
        <v>175</v>
      </c>
      <c r="H85" t="s">
        <v>202</v>
      </c>
      <c r="I85" t="s">
        <v>207</v>
      </c>
      <c r="J85" t="s">
        <v>226</v>
      </c>
      <c r="K85" t="s">
        <v>235</v>
      </c>
      <c r="L85" t="s">
        <v>237</v>
      </c>
    </row>
    <row r="86" spans="1:12" x14ac:dyDescent="0.25">
      <c r="A86">
        <v>85</v>
      </c>
      <c r="B86" s="2">
        <v>45903.322616928701</v>
      </c>
      <c r="C86" t="s">
        <v>15</v>
      </c>
      <c r="D86" t="s">
        <v>103</v>
      </c>
      <c r="E86" t="s">
        <v>170</v>
      </c>
      <c r="F86">
        <v>1891.49</v>
      </c>
      <c r="G86" t="s">
        <v>178</v>
      </c>
      <c r="H86" t="s">
        <v>205</v>
      </c>
      <c r="I86" t="s">
        <v>207</v>
      </c>
      <c r="J86" t="s">
        <v>213</v>
      </c>
      <c r="K86" t="s">
        <v>235</v>
      </c>
      <c r="L86" t="s">
        <v>237</v>
      </c>
    </row>
    <row r="87" spans="1:12" x14ac:dyDescent="0.25">
      <c r="A87">
        <v>86</v>
      </c>
      <c r="B87" s="2">
        <v>46019.322616928701</v>
      </c>
      <c r="C87" t="s">
        <v>17</v>
      </c>
      <c r="D87" t="s">
        <v>104</v>
      </c>
      <c r="E87" t="s">
        <v>170</v>
      </c>
      <c r="F87">
        <v>3893.24</v>
      </c>
      <c r="G87" t="s">
        <v>193</v>
      </c>
      <c r="H87" t="s">
        <v>202</v>
      </c>
      <c r="I87" t="s">
        <v>207</v>
      </c>
      <c r="J87" t="s">
        <v>231</v>
      </c>
      <c r="K87" t="s">
        <v>236</v>
      </c>
      <c r="L87" t="s">
        <v>237</v>
      </c>
    </row>
    <row r="88" spans="1:12" x14ac:dyDescent="0.25">
      <c r="A88">
        <v>87</v>
      </c>
      <c r="B88" s="2">
        <v>45877.322616928701</v>
      </c>
      <c r="C88" t="s">
        <v>13</v>
      </c>
      <c r="D88" t="s">
        <v>105</v>
      </c>
      <c r="E88" t="s">
        <v>169</v>
      </c>
      <c r="F88">
        <v>1736.98</v>
      </c>
      <c r="G88" t="s">
        <v>188</v>
      </c>
      <c r="H88" t="s">
        <v>205</v>
      </c>
      <c r="I88" t="s">
        <v>206</v>
      </c>
      <c r="J88" t="s">
        <v>224</v>
      </c>
      <c r="K88" t="s">
        <v>235</v>
      </c>
      <c r="L88" t="s">
        <v>237</v>
      </c>
    </row>
    <row r="89" spans="1:12" x14ac:dyDescent="0.25">
      <c r="A89">
        <v>88</v>
      </c>
      <c r="B89" s="2">
        <v>45907.322616928701</v>
      </c>
      <c r="C89" t="s">
        <v>13</v>
      </c>
      <c r="D89" t="s">
        <v>106</v>
      </c>
      <c r="E89" t="s">
        <v>169</v>
      </c>
      <c r="F89">
        <v>4657.25</v>
      </c>
      <c r="G89" t="s">
        <v>192</v>
      </c>
      <c r="H89" t="s">
        <v>201</v>
      </c>
      <c r="I89" t="s">
        <v>207</v>
      </c>
      <c r="J89" t="s">
        <v>215</v>
      </c>
      <c r="K89" t="s">
        <v>235</v>
      </c>
      <c r="L89" t="s">
        <v>237</v>
      </c>
    </row>
    <row r="90" spans="1:12" x14ac:dyDescent="0.25">
      <c r="A90">
        <v>89</v>
      </c>
      <c r="B90" s="2">
        <v>45927.322616928701</v>
      </c>
      <c r="C90" t="s">
        <v>16</v>
      </c>
      <c r="D90" t="s">
        <v>107</v>
      </c>
      <c r="E90" t="s">
        <v>169</v>
      </c>
      <c r="F90">
        <v>4299.1400000000003</v>
      </c>
      <c r="G90" t="s">
        <v>187</v>
      </c>
      <c r="H90" t="s">
        <v>201</v>
      </c>
      <c r="I90" t="s">
        <v>207</v>
      </c>
      <c r="J90" t="s">
        <v>230</v>
      </c>
      <c r="K90" t="s">
        <v>235</v>
      </c>
      <c r="L90" t="s">
        <v>237</v>
      </c>
    </row>
    <row r="91" spans="1:12" x14ac:dyDescent="0.25">
      <c r="A91">
        <v>90</v>
      </c>
      <c r="B91" s="2">
        <v>45951.322616928701</v>
      </c>
      <c r="C91" t="s">
        <v>18</v>
      </c>
      <c r="D91" t="s">
        <v>108</v>
      </c>
      <c r="E91" t="s">
        <v>171</v>
      </c>
      <c r="F91">
        <v>2173.52</v>
      </c>
      <c r="G91" t="s">
        <v>198</v>
      </c>
      <c r="H91" t="s">
        <v>202</v>
      </c>
      <c r="I91" t="s">
        <v>206</v>
      </c>
      <c r="J91" t="s">
        <v>227</v>
      </c>
      <c r="K91" t="s">
        <v>235</v>
      </c>
      <c r="L91" t="s">
        <v>237</v>
      </c>
    </row>
    <row r="92" spans="1:12" x14ac:dyDescent="0.25">
      <c r="A92">
        <v>91</v>
      </c>
      <c r="B92" s="2">
        <v>45933.322616928701</v>
      </c>
      <c r="C92" t="s">
        <v>14</v>
      </c>
      <c r="D92" t="s">
        <v>109</v>
      </c>
      <c r="E92" t="s">
        <v>171</v>
      </c>
      <c r="F92">
        <v>3766.81</v>
      </c>
      <c r="G92" t="s">
        <v>183</v>
      </c>
      <c r="H92" t="s">
        <v>202</v>
      </c>
      <c r="I92" t="s">
        <v>206</v>
      </c>
      <c r="J92" t="s">
        <v>210</v>
      </c>
      <c r="K92" t="s">
        <v>235</v>
      </c>
      <c r="L92" t="s">
        <v>237</v>
      </c>
    </row>
    <row r="93" spans="1:12" x14ac:dyDescent="0.25">
      <c r="A93">
        <v>92</v>
      </c>
      <c r="B93" s="2">
        <v>45871.322616928701</v>
      </c>
      <c r="C93" t="s">
        <v>14</v>
      </c>
      <c r="D93" t="s">
        <v>110</v>
      </c>
      <c r="E93" t="s">
        <v>171</v>
      </c>
      <c r="F93">
        <v>3784.99</v>
      </c>
      <c r="G93" t="s">
        <v>189</v>
      </c>
      <c r="H93" t="s">
        <v>205</v>
      </c>
      <c r="I93" t="s">
        <v>207</v>
      </c>
      <c r="J93" t="s">
        <v>222</v>
      </c>
      <c r="K93" t="s">
        <v>235</v>
      </c>
      <c r="L93" t="s">
        <v>237</v>
      </c>
    </row>
    <row r="94" spans="1:12" x14ac:dyDescent="0.25">
      <c r="A94">
        <v>93</v>
      </c>
      <c r="B94" s="2">
        <v>45950.322616928701</v>
      </c>
      <c r="C94" t="s">
        <v>15</v>
      </c>
      <c r="D94" t="s">
        <v>111</v>
      </c>
      <c r="E94" t="s">
        <v>170</v>
      </c>
      <c r="F94">
        <v>560.46</v>
      </c>
      <c r="G94" t="s">
        <v>185</v>
      </c>
      <c r="H94" t="s">
        <v>203</v>
      </c>
      <c r="I94" t="s">
        <v>207</v>
      </c>
      <c r="J94" t="s">
        <v>213</v>
      </c>
      <c r="K94" t="s">
        <v>235</v>
      </c>
      <c r="L94" t="s">
        <v>237</v>
      </c>
    </row>
    <row r="95" spans="1:12" x14ac:dyDescent="0.25">
      <c r="A95">
        <v>94</v>
      </c>
      <c r="B95" s="2">
        <v>45991.322616928701</v>
      </c>
      <c r="C95" t="s">
        <v>16</v>
      </c>
      <c r="D95" t="s">
        <v>112</v>
      </c>
      <c r="E95" t="s">
        <v>169</v>
      </c>
      <c r="F95">
        <v>4517.6400000000003</v>
      </c>
      <c r="G95" t="s">
        <v>187</v>
      </c>
      <c r="H95" t="s">
        <v>205</v>
      </c>
      <c r="I95" t="s">
        <v>207</v>
      </c>
      <c r="J95" t="s">
        <v>223</v>
      </c>
      <c r="K95" t="s">
        <v>235</v>
      </c>
      <c r="L95" t="s">
        <v>237</v>
      </c>
    </row>
    <row r="96" spans="1:12" x14ac:dyDescent="0.25">
      <c r="A96">
        <v>95</v>
      </c>
      <c r="B96" s="2">
        <v>45998.322616928701</v>
      </c>
      <c r="C96" t="s">
        <v>13</v>
      </c>
      <c r="D96" t="s">
        <v>113</v>
      </c>
      <c r="E96" t="s">
        <v>170</v>
      </c>
      <c r="F96">
        <v>2551</v>
      </c>
      <c r="G96" t="s">
        <v>192</v>
      </c>
      <c r="H96" t="s">
        <v>202</v>
      </c>
      <c r="I96" t="s">
        <v>207</v>
      </c>
      <c r="J96" t="s">
        <v>209</v>
      </c>
      <c r="K96" t="s">
        <v>235</v>
      </c>
      <c r="L96" t="s">
        <v>237</v>
      </c>
    </row>
    <row r="97" spans="1:12" x14ac:dyDescent="0.25">
      <c r="A97">
        <v>96</v>
      </c>
      <c r="B97" s="2">
        <v>45925.322616928701</v>
      </c>
      <c r="C97" t="s">
        <v>12</v>
      </c>
      <c r="D97" t="s">
        <v>114</v>
      </c>
      <c r="E97" t="s">
        <v>171</v>
      </c>
      <c r="F97">
        <v>4140.96</v>
      </c>
      <c r="G97" t="s">
        <v>186</v>
      </c>
      <c r="H97" t="s">
        <v>204</v>
      </c>
      <c r="I97" t="s">
        <v>207</v>
      </c>
      <c r="J97" t="s">
        <v>208</v>
      </c>
      <c r="K97" t="s">
        <v>235</v>
      </c>
      <c r="L97" t="s">
        <v>237</v>
      </c>
    </row>
    <row r="98" spans="1:12" x14ac:dyDescent="0.25">
      <c r="A98">
        <v>97</v>
      </c>
      <c r="B98" s="2">
        <v>46001.322616928701</v>
      </c>
      <c r="C98" t="s">
        <v>16</v>
      </c>
      <c r="D98" t="s">
        <v>115</v>
      </c>
      <c r="E98" t="s">
        <v>169</v>
      </c>
      <c r="F98">
        <v>1634.25</v>
      </c>
      <c r="G98" t="s">
        <v>184</v>
      </c>
      <c r="H98" t="s">
        <v>202</v>
      </c>
      <c r="I98" t="s">
        <v>207</v>
      </c>
      <c r="J98" t="s">
        <v>223</v>
      </c>
      <c r="K98" t="s">
        <v>235</v>
      </c>
      <c r="L98" t="s">
        <v>237</v>
      </c>
    </row>
    <row r="99" spans="1:12" x14ac:dyDescent="0.25">
      <c r="A99">
        <v>98</v>
      </c>
      <c r="B99" s="2">
        <v>45943.322616928701</v>
      </c>
      <c r="C99" t="s">
        <v>15</v>
      </c>
      <c r="D99" t="s">
        <v>116</v>
      </c>
      <c r="E99" t="s">
        <v>170</v>
      </c>
      <c r="F99">
        <v>4482.84</v>
      </c>
      <c r="G99" t="s">
        <v>194</v>
      </c>
      <c r="H99" t="s">
        <v>204</v>
      </c>
      <c r="I99" t="s">
        <v>207</v>
      </c>
      <c r="J99" t="s">
        <v>212</v>
      </c>
      <c r="K99" t="s">
        <v>235</v>
      </c>
      <c r="L99" t="s">
        <v>237</v>
      </c>
    </row>
    <row r="100" spans="1:12" x14ac:dyDescent="0.25">
      <c r="A100">
        <v>99</v>
      </c>
      <c r="B100" s="2">
        <v>45998.322616928701</v>
      </c>
      <c r="C100" t="s">
        <v>15</v>
      </c>
      <c r="D100" t="s">
        <v>117</v>
      </c>
      <c r="E100" t="s">
        <v>169</v>
      </c>
      <c r="F100">
        <v>1976.55</v>
      </c>
      <c r="G100" t="s">
        <v>185</v>
      </c>
      <c r="H100" t="s">
        <v>200</v>
      </c>
      <c r="I100" t="s">
        <v>207</v>
      </c>
      <c r="J100" t="s">
        <v>212</v>
      </c>
      <c r="K100" t="s">
        <v>235</v>
      </c>
      <c r="L100" t="s">
        <v>237</v>
      </c>
    </row>
    <row r="101" spans="1:12" x14ac:dyDescent="0.25">
      <c r="A101">
        <v>100</v>
      </c>
      <c r="B101" s="2">
        <v>46025.322616928701</v>
      </c>
      <c r="C101" t="s">
        <v>16</v>
      </c>
      <c r="D101" t="s">
        <v>118</v>
      </c>
      <c r="E101" t="s">
        <v>170</v>
      </c>
      <c r="F101">
        <v>103.65</v>
      </c>
      <c r="G101" t="s">
        <v>184</v>
      </c>
      <c r="H101" t="s">
        <v>202</v>
      </c>
      <c r="I101" t="s">
        <v>207</v>
      </c>
      <c r="J101" t="s">
        <v>228</v>
      </c>
      <c r="K101" t="s">
        <v>235</v>
      </c>
      <c r="L101" t="s">
        <v>237</v>
      </c>
    </row>
    <row r="102" spans="1:12" x14ac:dyDescent="0.25">
      <c r="A102">
        <v>101</v>
      </c>
      <c r="B102" s="2">
        <v>46025.322616928701</v>
      </c>
      <c r="C102" t="s">
        <v>15</v>
      </c>
      <c r="D102" t="s">
        <v>119</v>
      </c>
      <c r="E102" t="s">
        <v>169</v>
      </c>
      <c r="F102">
        <v>4531.6400000000003</v>
      </c>
      <c r="G102" t="s">
        <v>177</v>
      </c>
      <c r="H102" t="s">
        <v>200</v>
      </c>
      <c r="I102" t="s">
        <v>207</v>
      </c>
      <c r="J102" t="s">
        <v>212</v>
      </c>
      <c r="K102" t="s">
        <v>235</v>
      </c>
      <c r="L102" t="s">
        <v>237</v>
      </c>
    </row>
    <row r="103" spans="1:12" x14ac:dyDescent="0.25">
      <c r="A103">
        <v>102</v>
      </c>
      <c r="B103" s="2">
        <v>45895.322616928701</v>
      </c>
      <c r="C103" t="s">
        <v>16</v>
      </c>
      <c r="D103" t="s">
        <v>120</v>
      </c>
      <c r="E103" t="s">
        <v>171</v>
      </c>
      <c r="F103">
        <v>501.87</v>
      </c>
      <c r="G103" t="s">
        <v>187</v>
      </c>
      <c r="H103" t="s">
        <v>203</v>
      </c>
      <c r="I103" t="s">
        <v>207</v>
      </c>
      <c r="J103" t="s">
        <v>217</v>
      </c>
      <c r="K103" t="s">
        <v>235</v>
      </c>
      <c r="L103" t="s">
        <v>237</v>
      </c>
    </row>
    <row r="104" spans="1:12" x14ac:dyDescent="0.25">
      <c r="A104">
        <v>103</v>
      </c>
      <c r="B104" s="2">
        <v>45985.322616928701</v>
      </c>
      <c r="C104" t="s">
        <v>17</v>
      </c>
      <c r="D104" t="s">
        <v>121</v>
      </c>
      <c r="E104" t="s">
        <v>171</v>
      </c>
      <c r="F104">
        <v>1630.6</v>
      </c>
      <c r="G104" t="s">
        <v>193</v>
      </c>
      <c r="H104" t="s">
        <v>205</v>
      </c>
      <c r="I104" t="s">
        <v>207</v>
      </c>
      <c r="J104" t="s">
        <v>218</v>
      </c>
      <c r="K104" t="s">
        <v>235</v>
      </c>
      <c r="L104" t="s">
        <v>237</v>
      </c>
    </row>
    <row r="105" spans="1:12" x14ac:dyDescent="0.25">
      <c r="A105">
        <v>104</v>
      </c>
      <c r="B105" s="2">
        <v>45867.322616928701</v>
      </c>
      <c r="C105" t="s">
        <v>16</v>
      </c>
      <c r="D105" t="s">
        <v>122</v>
      </c>
      <c r="E105" t="s">
        <v>169</v>
      </c>
      <c r="F105">
        <v>4752.8100000000004</v>
      </c>
      <c r="G105" t="s">
        <v>179</v>
      </c>
      <c r="H105" t="s">
        <v>204</v>
      </c>
      <c r="I105" t="s">
        <v>207</v>
      </c>
      <c r="J105" t="s">
        <v>230</v>
      </c>
      <c r="K105" t="s">
        <v>236</v>
      </c>
      <c r="L105" t="s">
        <v>237</v>
      </c>
    </row>
    <row r="106" spans="1:12" x14ac:dyDescent="0.25">
      <c r="A106">
        <v>105</v>
      </c>
      <c r="B106" s="2">
        <v>45903.322616928701</v>
      </c>
      <c r="C106" t="s">
        <v>18</v>
      </c>
      <c r="D106" t="s">
        <v>123</v>
      </c>
      <c r="E106" t="s">
        <v>170</v>
      </c>
      <c r="F106">
        <v>4755.51</v>
      </c>
      <c r="G106" t="s">
        <v>198</v>
      </c>
      <c r="H106" t="s">
        <v>205</v>
      </c>
      <c r="I106" t="s">
        <v>207</v>
      </c>
      <c r="J106" t="s">
        <v>219</v>
      </c>
      <c r="K106" t="s">
        <v>235</v>
      </c>
      <c r="L106" t="s">
        <v>237</v>
      </c>
    </row>
    <row r="107" spans="1:12" x14ac:dyDescent="0.25">
      <c r="A107">
        <v>106</v>
      </c>
      <c r="B107" s="2">
        <v>45890.322616928701</v>
      </c>
      <c r="C107" t="s">
        <v>16</v>
      </c>
      <c r="D107" t="s">
        <v>124</v>
      </c>
      <c r="E107" t="s">
        <v>171</v>
      </c>
      <c r="F107">
        <v>2888.52</v>
      </c>
      <c r="G107" t="s">
        <v>179</v>
      </c>
      <c r="H107" t="s">
        <v>200</v>
      </c>
      <c r="I107" t="s">
        <v>207</v>
      </c>
      <c r="J107" t="s">
        <v>223</v>
      </c>
      <c r="K107" t="s">
        <v>235</v>
      </c>
      <c r="L107" t="s">
        <v>237</v>
      </c>
    </row>
    <row r="108" spans="1:12" x14ac:dyDescent="0.25">
      <c r="A108">
        <v>107</v>
      </c>
      <c r="B108" s="2">
        <v>45997.322616928701</v>
      </c>
      <c r="C108" t="s">
        <v>15</v>
      </c>
      <c r="D108" t="s">
        <v>125</v>
      </c>
      <c r="E108" t="s">
        <v>171</v>
      </c>
      <c r="F108">
        <v>3177.59</v>
      </c>
      <c r="G108" t="s">
        <v>194</v>
      </c>
      <c r="H108" t="s">
        <v>204</v>
      </c>
      <c r="I108" t="s">
        <v>207</v>
      </c>
      <c r="J108" t="s">
        <v>211</v>
      </c>
      <c r="K108" t="s">
        <v>235</v>
      </c>
      <c r="L108" t="s">
        <v>237</v>
      </c>
    </row>
    <row r="109" spans="1:12" x14ac:dyDescent="0.25">
      <c r="A109">
        <v>108</v>
      </c>
      <c r="B109" s="2">
        <v>45934.322616928701</v>
      </c>
      <c r="C109" t="s">
        <v>18</v>
      </c>
      <c r="D109" t="s">
        <v>126</v>
      </c>
      <c r="E109" t="s">
        <v>171</v>
      </c>
      <c r="F109">
        <v>2269.81</v>
      </c>
      <c r="G109" t="s">
        <v>181</v>
      </c>
      <c r="H109" t="s">
        <v>205</v>
      </c>
      <c r="I109" t="s">
        <v>207</v>
      </c>
      <c r="J109" t="s">
        <v>219</v>
      </c>
      <c r="K109" t="s">
        <v>235</v>
      </c>
      <c r="L109" t="s">
        <v>237</v>
      </c>
    </row>
    <row r="110" spans="1:12" x14ac:dyDescent="0.25">
      <c r="A110">
        <v>109</v>
      </c>
      <c r="B110" s="2">
        <v>45874.322616928701</v>
      </c>
      <c r="C110" t="s">
        <v>15</v>
      </c>
      <c r="D110" t="s">
        <v>127</v>
      </c>
      <c r="E110" t="s">
        <v>169</v>
      </c>
      <c r="F110">
        <v>1501.39</v>
      </c>
      <c r="G110" t="s">
        <v>177</v>
      </c>
      <c r="H110" t="s">
        <v>202</v>
      </c>
      <c r="I110" t="s">
        <v>207</v>
      </c>
      <c r="J110" t="s">
        <v>213</v>
      </c>
      <c r="K110" t="s">
        <v>235</v>
      </c>
      <c r="L110" t="s">
        <v>237</v>
      </c>
    </row>
    <row r="111" spans="1:12" x14ac:dyDescent="0.25">
      <c r="A111">
        <v>110</v>
      </c>
      <c r="B111" s="2">
        <v>46024.322616928701</v>
      </c>
      <c r="C111" t="s">
        <v>14</v>
      </c>
      <c r="D111" t="s">
        <v>128</v>
      </c>
      <c r="E111" t="s">
        <v>169</v>
      </c>
      <c r="F111">
        <v>1676.89</v>
      </c>
      <c r="G111" t="s">
        <v>182</v>
      </c>
      <c r="H111" t="s">
        <v>201</v>
      </c>
      <c r="I111" t="s">
        <v>207</v>
      </c>
      <c r="J111" t="s">
        <v>210</v>
      </c>
      <c r="K111" t="s">
        <v>235</v>
      </c>
      <c r="L111" t="s">
        <v>237</v>
      </c>
    </row>
    <row r="112" spans="1:12" x14ac:dyDescent="0.25">
      <c r="A112">
        <v>111</v>
      </c>
      <c r="B112" s="2">
        <v>45895.322616928701</v>
      </c>
      <c r="C112" t="s">
        <v>14</v>
      </c>
      <c r="D112" t="s">
        <v>129</v>
      </c>
      <c r="E112" t="s">
        <v>170</v>
      </c>
      <c r="F112">
        <v>3378.97</v>
      </c>
      <c r="G112" t="s">
        <v>189</v>
      </c>
      <c r="H112" t="s">
        <v>200</v>
      </c>
      <c r="I112" t="s">
        <v>206</v>
      </c>
      <c r="J112" t="s">
        <v>220</v>
      </c>
      <c r="K112" t="s">
        <v>235</v>
      </c>
      <c r="L112" t="s">
        <v>237</v>
      </c>
    </row>
    <row r="113" spans="1:12" x14ac:dyDescent="0.25">
      <c r="A113">
        <v>112</v>
      </c>
      <c r="B113" s="2">
        <v>45910.322616928701</v>
      </c>
      <c r="C113" t="s">
        <v>18</v>
      </c>
      <c r="D113" t="s">
        <v>130</v>
      </c>
      <c r="E113" t="s">
        <v>170</v>
      </c>
      <c r="F113">
        <v>3774.25</v>
      </c>
      <c r="G113" t="s">
        <v>191</v>
      </c>
      <c r="H113" t="s">
        <v>205</v>
      </c>
      <c r="I113" t="s">
        <v>207</v>
      </c>
      <c r="J113" t="s">
        <v>227</v>
      </c>
      <c r="K113" t="s">
        <v>235</v>
      </c>
      <c r="L113" t="s">
        <v>237</v>
      </c>
    </row>
    <row r="114" spans="1:12" x14ac:dyDescent="0.25">
      <c r="A114">
        <v>113</v>
      </c>
      <c r="B114" s="2">
        <v>46013.322616928701</v>
      </c>
      <c r="C114" t="s">
        <v>17</v>
      </c>
      <c r="D114" t="s">
        <v>131</v>
      </c>
      <c r="E114" t="s">
        <v>170</v>
      </c>
      <c r="F114">
        <v>3968.32</v>
      </c>
      <c r="G114" t="s">
        <v>197</v>
      </c>
      <c r="H114" t="s">
        <v>200</v>
      </c>
      <c r="I114" t="s">
        <v>207</v>
      </c>
      <c r="J114" t="s">
        <v>232</v>
      </c>
      <c r="K114" t="s">
        <v>235</v>
      </c>
      <c r="L114" t="s">
        <v>237</v>
      </c>
    </row>
    <row r="115" spans="1:12" x14ac:dyDescent="0.25">
      <c r="A115">
        <v>114</v>
      </c>
      <c r="B115" s="2">
        <v>45924.322616928701</v>
      </c>
      <c r="C115" t="s">
        <v>14</v>
      </c>
      <c r="D115" t="s">
        <v>132</v>
      </c>
      <c r="E115" t="s">
        <v>169</v>
      </c>
      <c r="F115">
        <v>3958.61</v>
      </c>
      <c r="G115" t="s">
        <v>189</v>
      </c>
      <c r="H115" t="s">
        <v>200</v>
      </c>
      <c r="I115" t="s">
        <v>207</v>
      </c>
      <c r="J115" t="s">
        <v>210</v>
      </c>
      <c r="K115" t="s">
        <v>235</v>
      </c>
      <c r="L115" t="s">
        <v>237</v>
      </c>
    </row>
    <row r="116" spans="1:12" x14ac:dyDescent="0.25">
      <c r="A116">
        <v>115</v>
      </c>
      <c r="B116" s="2">
        <v>45899.322616928701</v>
      </c>
      <c r="C116" t="s">
        <v>16</v>
      </c>
      <c r="D116" t="s">
        <v>133</v>
      </c>
      <c r="E116" t="s">
        <v>169</v>
      </c>
      <c r="F116">
        <v>501.47</v>
      </c>
      <c r="G116" t="s">
        <v>179</v>
      </c>
      <c r="H116" t="s">
        <v>204</v>
      </c>
      <c r="I116" t="s">
        <v>206</v>
      </c>
      <c r="J116" t="s">
        <v>217</v>
      </c>
      <c r="K116" t="s">
        <v>235</v>
      </c>
      <c r="L116" t="s">
        <v>237</v>
      </c>
    </row>
    <row r="117" spans="1:12" x14ac:dyDescent="0.25">
      <c r="A117">
        <v>116</v>
      </c>
      <c r="B117" s="2">
        <v>45961.322616928701</v>
      </c>
      <c r="C117" t="s">
        <v>15</v>
      </c>
      <c r="D117" t="s">
        <v>134</v>
      </c>
      <c r="E117" t="s">
        <v>170</v>
      </c>
      <c r="F117">
        <v>2497.38</v>
      </c>
      <c r="G117" t="s">
        <v>194</v>
      </c>
      <c r="H117" t="s">
        <v>204</v>
      </c>
      <c r="I117" t="s">
        <v>207</v>
      </c>
      <c r="J117" t="s">
        <v>212</v>
      </c>
      <c r="K117" t="s">
        <v>235</v>
      </c>
      <c r="L117" t="s">
        <v>237</v>
      </c>
    </row>
    <row r="118" spans="1:12" x14ac:dyDescent="0.25">
      <c r="A118">
        <v>117</v>
      </c>
      <c r="B118" s="2">
        <v>46034.322616928701</v>
      </c>
      <c r="C118" t="s">
        <v>14</v>
      </c>
      <c r="D118" t="s">
        <v>135</v>
      </c>
      <c r="E118" t="s">
        <v>170</v>
      </c>
      <c r="F118">
        <v>334.92</v>
      </c>
      <c r="G118" t="s">
        <v>189</v>
      </c>
      <c r="H118" t="s">
        <v>201</v>
      </c>
      <c r="I118" t="s">
        <v>207</v>
      </c>
      <c r="J118" t="s">
        <v>225</v>
      </c>
      <c r="K118" t="s">
        <v>235</v>
      </c>
      <c r="L118" t="s">
        <v>237</v>
      </c>
    </row>
    <row r="119" spans="1:12" x14ac:dyDescent="0.25">
      <c r="A119">
        <v>118</v>
      </c>
      <c r="B119" s="2">
        <v>45966.322616928701</v>
      </c>
      <c r="C119" t="s">
        <v>14</v>
      </c>
      <c r="D119" t="s">
        <v>136</v>
      </c>
      <c r="E119" t="s">
        <v>169</v>
      </c>
      <c r="F119">
        <v>2770.17</v>
      </c>
      <c r="G119" t="s">
        <v>189</v>
      </c>
      <c r="H119" t="s">
        <v>202</v>
      </c>
      <c r="I119" t="s">
        <v>207</v>
      </c>
      <c r="J119" t="s">
        <v>222</v>
      </c>
      <c r="K119" t="s">
        <v>235</v>
      </c>
      <c r="L119" t="s">
        <v>237</v>
      </c>
    </row>
    <row r="120" spans="1:12" x14ac:dyDescent="0.25">
      <c r="A120">
        <v>119</v>
      </c>
      <c r="B120" s="2">
        <v>45897.322616928701</v>
      </c>
      <c r="C120" t="s">
        <v>17</v>
      </c>
      <c r="D120" t="s">
        <v>137</v>
      </c>
      <c r="E120" t="s">
        <v>170</v>
      </c>
      <c r="F120">
        <v>2235.58</v>
      </c>
      <c r="G120" t="s">
        <v>193</v>
      </c>
      <c r="H120" t="s">
        <v>200</v>
      </c>
      <c r="I120" t="s">
        <v>207</v>
      </c>
      <c r="J120" t="s">
        <v>232</v>
      </c>
      <c r="K120" t="s">
        <v>235</v>
      </c>
      <c r="L120" t="s">
        <v>237</v>
      </c>
    </row>
    <row r="121" spans="1:12" x14ac:dyDescent="0.25">
      <c r="A121">
        <v>120</v>
      </c>
      <c r="B121" s="2">
        <v>45963.322616928701</v>
      </c>
      <c r="C121" t="s">
        <v>18</v>
      </c>
      <c r="D121" t="s">
        <v>138</v>
      </c>
      <c r="E121" t="s">
        <v>171</v>
      </c>
      <c r="F121">
        <v>4444.1400000000003</v>
      </c>
      <c r="G121" t="s">
        <v>191</v>
      </c>
      <c r="H121" t="s">
        <v>205</v>
      </c>
      <c r="I121" t="s">
        <v>207</v>
      </c>
      <c r="J121" t="s">
        <v>221</v>
      </c>
      <c r="K121" t="s">
        <v>235</v>
      </c>
      <c r="L121" t="s">
        <v>237</v>
      </c>
    </row>
    <row r="122" spans="1:12" x14ac:dyDescent="0.25">
      <c r="A122">
        <v>121</v>
      </c>
      <c r="B122" s="2">
        <v>46037.322616928701</v>
      </c>
      <c r="C122" t="s">
        <v>18</v>
      </c>
      <c r="D122" t="s">
        <v>139</v>
      </c>
      <c r="E122" t="s">
        <v>169</v>
      </c>
      <c r="F122">
        <v>1787.03</v>
      </c>
      <c r="G122" t="s">
        <v>191</v>
      </c>
      <c r="H122" t="s">
        <v>203</v>
      </c>
      <c r="I122" t="s">
        <v>206</v>
      </c>
      <c r="J122" t="s">
        <v>219</v>
      </c>
      <c r="K122" t="s">
        <v>235</v>
      </c>
      <c r="L122" t="s">
        <v>237</v>
      </c>
    </row>
    <row r="123" spans="1:12" x14ac:dyDescent="0.25">
      <c r="A123">
        <v>122</v>
      </c>
      <c r="B123" s="2">
        <v>45993.322616928701</v>
      </c>
      <c r="C123" t="s">
        <v>13</v>
      </c>
      <c r="D123" t="s">
        <v>140</v>
      </c>
      <c r="E123" t="s">
        <v>170</v>
      </c>
      <c r="F123">
        <v>629.48</v>
      </c>
      <c r="G123" t="s">
        <v>188</v>
      </c>
      <c r="H123" t="s">
        <v>200</v>
      </c>
      <c r="I123" t="s">
        <v>207</v>
      </c>
      <c r="J123" t="s">
        <v>216</v>
      </c>
      <c r="K123" t="s">
        <v>235</v>
      </c>
      <c r="L123" t="s">
        <v>237</v>
      </c>
    </row>
    <row r="124" spans="1:12" x14ac:dyDescent="0.25">
      <c r="A124">
        <v>123</v>
      </c>
      <c r="B124" s="2">
        <v>45863.322616928701</v>
      </c>
      <c r="C124" t="s">
        <v>17</v>
      </c>
      <c r="D124" t="s">
        <v>141</v>
      </c>
      <c r="E124" t="s">
        <v>169</v>
      </c>
      <c r="F124">
        <v>757.81</v>
      </c>
      <c r="G124" t="s">
        <v>193</v>
      </c>
      <c r="H124" t="s">
        <v>200</v>
      </c>
      <c r="I124" t="s">
        <v>207</v>
      </c>
      <c r="J124" t="s">
        <v>231</v>
      </c>
      <c r="K124" t="s">
        <v>235</v>
      </c>
      <c r="L124" t="s">
        <v>237</v>
      </c>
    </row>
    <row r="125" spans="1:12" x14ac:dyDescent="0.25">
      <c r="A125">
        <v>124</v>
      </c>
      <c r="B125" s="2">
        <v>45867.322616928701</v>
      </c>
      <c r="C125" t="s">
        <v>16</v>
      </c>
      <c r="D125" t="s">
        <v>142</v>
      </c>
      <c r="E125" t="s">
        <v>171</v>
      </c>
      <c r="F125">
        <v>3819.48</v>
      </c>
      <c r="G125" t="s">
        <v>190</v>
      </c>
      <c r="H125" t="s">
        <v>201</v>
      </c>
      <c r="I125" t="s">
        <v>207</v>
      </c>
      <c r="J125" t="s">
        <v>217</v>
      </c>
      <c r="K125" t="s">
        <v>235</v>
      </c>
      <c r="L125" t="s">
        <v>237</v>
      </c>
    </row>
    <row r="126" spans="1:12" x14ac:dyDescent="0.25">
      <c r="A126">
        <v>125</v>
      </c>
      <c r="B126" s="2">
        <v>46004.322616928701</v>
      </c>
      <c r="C126" t="s">
        <v>18</v>
      </c>
      <c r="D126" t="s">
        <v>143</v>
      </c>
      <c r="E126" t="s">
        <v>169</v>
      </c>
      <c r="F126">
        <v>3110.18</v>
      </c>
      <c r="G126" t="s">
        <v>195</v>
      </c>
      <c r="H126" t="s">
        <v>202</v>
      </c>
      <c r="I126" t="s">
        <v>206</v>
      </c>
      <c r="J126" t="s">
        <v>234</v>
      </c>
      <c r="K126" t="s">
        <v>235</v>
      </c>
      <c r="L126" t="s">
        <v>237</v>
      </c>
    </row>
    <row r="127" spans="1:12" x14ac:dyDescent="0.25">
      <c r="A127">
        <v>126</v>
      </c>
      <c r="B127" s="2">
        <v>45965.322616928701</v>
      </c>
      <c r="C127" t="s">
        <v>15</v>
      </c>
      <c r="D127" t="s">
        <v>144</v>
      </c>
      <c r="E127" t="s">
        <v>169</v>
      </c>
      <c r="F127">
        <v>550.55999999999995</v>
      </c>
      <c r="G127" t="s">
        <v>178</v>
      </c>
      <c r="H127" t="s">
        <v>203</v>
      </c>
      <c r="I127" t="s">
        <v>207</v>
      </c>
      <c r="J127" t="s">
        <v>212</v>
      </c>
      <c r="K127" t="s">
        <v>235</v>
      </c>
      <c r="L127" t="s">
        <v>237</v>
      </c>
    </row>
    <row r="128" spans="1:12" x14ac:dyDescent="0.25">
      <c r="A128">
        <v>127</v>
      </c>
      <c r="B128" s="2">
        <v>45889.322616928701</v>
      </c>
      <c r="C128" t="s">
        <v>17</v>
      </c>
      <c r="D128" t="s">
        <v>145</v>
      </c>
      <c r="E128" t="s">
        <v>169</v>
      </c>
      <c r="F128">
        <v>466.33</v>
      </c>
      <c r="G128" t="s">
        <v>193</v>
      </c>
      <c r="H128" t="s">
        <v>204</v>
      </c>
      <c r="I128" t="s">
        <v>207</v>
      </c>
      <c r="J128" t="s">
        <v>218</v>
      </c>
      <c r="K128" t="s">
        <v>235</v>
      </c>
      <c r="L128" t="s">
        <v>237</v>
      </c>
    </row>
    <row r="129" spans="1:12" x14ac:dyDescent="0.25">
      <c r="A129">
        <v>128</v>
      </c>
      <c r="B129" s="2">
        <v>45999.322616928701</v>
      </c>
      <c r="C129" t="s">
        <v>14</v>
      </c>
      <c r="D129" t="s">
        <v>146</v>
      </c>
      <c r="E129" t="s">
        <v>169</v>
      </c>
      <c r="F129">
        <v>3519.8</v>
      </c>
      <c r="G129" t="s">
        <v>174</v>
      </c>
      <c r="H129" t="s">
        <v>204</v>
      </c>
      <c r="I129" t="s">
        <v>207</v>
      </c>
      <c r="J129" t="s">
        <v>210</v>
      </c>
      <c r="K129" t="s">
        <v>235</v>
      </c>
      <c r="L129" t="s">
        <v>237</v>
      </c>
    </row>
    <row r="130" spans="1:12" x14ac:dyDescent="0.25">
      <c r="A130">
        <v>129</v>
      </c>
      <c r="B130" s="2">
        <v>45877.322616928701</v>
      </c>
      <c r="C130" t="s">
        <v>15</v>
      </c>
      <c r="D130" t="s">
        <v>147</v>
      </c>
      <c r="E130" t="s">
        <v>171</v>
      </c>
      <c r="F130">
        <v>410.18</v>
      </c>
      <c r="G130" t="s">
        <v>177</v>
      </c>
      <c r="H130" t="s">
        <v>205</v>
      </c>
      <c r="I130" t="s">
        <v>207</v>
      </c>
      <c r="J130" t="s">
        <v>212</v>
      </c>
      <c r="K130" t="s">
        <v>236</v>
      </c>
      <c r="L130" t="s">
        <v>237</v>
      </c>
    </row>
    <row r="131" spans="1:12" x14ac:dyDescent="0.25">
      <c r="A131">
        <v>130</v>
      </c>
      <c r="B131" s="2">
        <v>45952.322616928701</v>
      </c>
      <c r="C131" t="s">
        <v>15</v>
      </c>
      <c r="D131" t="s">
        <v>148</v>
      </c>
      <c r="E131" t="s">
        <v>169</v>
      </c>
      <c r="F131">
        <v>4118.21</v>
      </c>
      <c r="G131" t="s">
        <v>194</v>
      </c>
      <c r="H131" t="s">
        <v>203</v>
      </c>
      <c r="I131" t="s">
        <v>207</v>
      </c>
      <c r="J131" t="s">
        <v>211</v>
      </c>
      <c r="K131" t="s">
        <v>235</v>
      </c>
      <c r="L131" t="s">
        <v>237</v>
      </c>
    </row>
    <row r="132" spans="1:12" x14ac:dyDescent="0.25">
      <c r="A132">
        <v>131</v>
      </c>
      <c r="B132" s="2">
        <v>45904.322616928701</v>
      </c>
      <c r="C132" t="s">
        <v>14</v>
      </c>
      <c r="D132" t="s">
        <v>149</v>
      </c>
      <c r="E132" t="s">
        <v>169</v>
      </c>
      <c r="F132">
        <v>3545.9</v>
      </c>
      <c r="G132" t="s">
        <v>174</v>
      </c>
      <c r="H132" t="s">
        <v>204</v>
      </c>
      <c r="I132" t="s">
        <v>206</v>
      </c>
      <c r="J132" t="s">
        <v>220</v>
      </c>
      <c r="K132" t="s">
        <v>236</v>
      </c>
      <c r="L132" t="s">
        <v>237</v>
      </c>
    </row>
    <row r="133" spans="1:12" x14ac:dyDescent="0.25">
      <c r="A133">
        <v>132</v>
      </c>
      <c r="B133" s="2">
        <v>45986.322616928701</v>
      </c>
      <c r="C133" t="s">
        <v>17</v>
      </c>
      <c r="D133" t="s">
        <v>150</v>
      </c>
      <c r="E133" t="s">
        <v>170</v>
      </c>
      <c r="F133">
        <v>452.68</v>
      </c>
      <c r="G133" t="s">
        <v>193</v>
      </c>
      <c r="H133" t="s">
        <v>205</v>
      </c>
      <c r="I133" t="s">
        <v>207</v>
      </c>
      <c r="J133" t="s">
        <v>232</v>
      </c>
      <c r="K133" t="s">
        <v>235</v>
      </c>
      <c r="L133" t="s">
        <v>237</v>
      </c>
    </row>
    <row r="134" spans="1:12" x14ac:dyDescent="0.25">
      <c r="A134">
        <v>133</v>
      </c>
      <c r="B134" s="2">
        <v>46041.322616928701</v>
      </c>
      <c r="C134" t="s">
        <v>14</v>
      </c>
      <c r="D134" t="s">
        <v>151</v>
      </c>
      <c r="E134" t="s">
        <v>169</v>
      </c>
      <c r="F134">
        <v>469.95</v>
      </c>
      <c r="G134" t="s">
        <v>182</v>
      </c>
      <c r="H134" t="s">
        <v>202</v>
      </c>
      <c r="I134" t="s">
        <v>206</v>
      </c>
      <c r="J134" t="s">
        <v>225</v>
      </c>
      <c r="K134" t="s">
        <v>235</v>
      </c>
      <c r="L134" t="s">
        <v>237</v>
      </c>
    </row>
    <row r="135" spans="1:12" x14ac:dyDescent="0.25">
      <c r="A135">
        <v>134</v>
      </c>
      <c r="B135" s="2">
        <v>45925.322616928701</v>
      </c>
      <c r="C135" t="s">
        <v>13</v>
      </c>
      <c r="D135" t="s">
        <v>152</v>
      </c>
      <c r="E135" t="s">
        <v>170</v>
      </c>
      <c r="F135">
        <v>4933.87</v>
      </c>
      <c r="G135" t="s">
        <v>192</v>
      </c>
      <c r="H135" t="s">
        <v>205</v>
      </c>
      <c r="I135" t="s">
        <v>207</v>
      </c>
      <c r="J135" t="s">
        <v>224</v>
      </c>
      <c r="K135" t="s">
        <v>235</v>
      </c>
      <c r="L135" t="s">
        <v>237</v>
      </c>
    </row>
    <row r="136" spans="1:12" x14ac:dyDescent="0.25">
      <c r="A136">
        <v>135</v>
      </c>
      <c r="B136" s="2">
        <v>45958.322616928701</v>
      </c>
      <c r="C136" t="s">
        <v>15</v>
      </c>
      <c r="D136" t="s">
        <v>153</v>
      </c>
      <c r="E136" t="s">
        <v>171</v>
      </c>
      <c r="F136">
        <v>1902.64</v>
      </c>
      <c r="G136" t="s">
        <v>178</v>
      </c>
      <c r="H136" t="s">
        <v>204</v>
      </c>
      <c r="I136" t="s">
        <v>207</v>
      </c>
      <c r="J136" t="s">
        <v>211</v>
      </c>
      <c r="K136" t="s">
        <v>235</v>
      </c>
      <c r="L136" t="s">
        <v>237</v>
      </c>
    </row>
    <row r="137" spans="1:12" x14ac:dyDescent="0.25">
      <c r="A137">
        <v>136</v>
      </c>
      <c r="B137" s="2">
        <v>45914.322616928701</v>
      </c>
      <c r="C137" t="s">
        <v>12</v>
      </c>
      <c r="D137" t="s">
        <v>154</v>
      </c>
      <c r="E137" t="s">
        <v>171</v>
      </c>
      <c r="F137">
        <v>1884.68</v>
      </c>
      <c r="G137" t="s">
        <v>172</v>
      </c>
      <c r="H137" t="s">
        <v>201</v>
      </c>
      <c r="I137" t="s">
        <v>206</v>
      </c>
      <c r="J137" t="s">
        <v>233</v>
      </c>
      <c r="K137" t="s">
        <v>235</v>
      </c>
      <c r="L137" t="s">
        <v>237</v>
      </c>
    </row>
    <row r="138" spans="1:12" x14ac:dyDescent="0.25">
      <c r="A138">
        <v>137</v>
      </c>
      <c r="B138" s="2">
        <v>45958.322616928701</v>
      </c>
      <c r="C138" t="s">
        <v>12</v>
      </c>
      <c r="D138" t="s">
        <v>155</v>
      </c>
      <c r="E138" t="s">
        <v>171</v>
      </c>
      <c r="F138">
        <v>4073.36</v>
      </c>
      <c r="G138" t="s">
        <v>199</v>
      </c>
      <c r="H138" t="s">
        <v>201</v>
      </c>
      <c r="I138" t="s">
        <v>207</v>
      </c>
      <c r="J138" t="s">
        <v>233</v>
      </c>
      <c r="K138" t="s">
        <v>235</v>
      </c>
      <c r="L138" t="s">
        <v>237</v>
      </c>
    </row>
    <row r="139" spans="1:12" x14ac:dyDescent="0.25">
      <c r="A139">
        <v>138</v>
      </c>
      <c r="B139" s="2">
        <v>45994.322616928701</v>
      </c>
      <c r="C139" t="s">
        <v>16</v>
      </c>
      <c r="D139" t="s">
        <v>156</v>
      </c>
      <c r="E139" t="s">
        <v>171</v>
      </c>
      <c r="F139">
        <v>4738.88</v>
      </c>
      <c r="G139" t="s">
        <v>187</v>
      </c>
      <c r="H139" t="s">
        <v>201</v>
      </c>
      <c r="I139" t="s">
        <v>207</v>
      </c>
      <c r="J139" t="s">
        <v>223</v>
      </c>
      <c r="K139" t="s">
        <v>235</v>
      </c>
      <c r="L139" t="s">
        <v>237</v>
      </c>
    </row>
    <row r="140" spans="1:12" x14ac:dyDescent="0.25">
      <c r="A140">
        <v>139</v>
      </c>
      <c r="B140" s="2">
        <v>46013.322616928701</v>
      </c>
      <c r="C140" t="s">
        <v>18</v>
      </c>
      <c r="D140" t="s">
        <v>157</v>
      </c>
      <c r="E140" t="s">
        <v>170</v>
      </c>
      <c r="F140">
        <v>4930.71</v>
      </c>
      <c r="G140" t="s">
        <v>195</v>
      </c>
      <c r="H140" t="s">
        <v>204</v>
      </c>
      <c r="I140" t="s">
        <v>207</v>
      </c>
      <c r="J140" t="s">
        <v>234</v>
      </c>
      <c r="K140" t="s">
        <v>235</v>
      </c>
      <c r="L140" t="s">
        <v>237</v>
      </c>
    </row>
    <row r="141" spans="1:12" x14ac:dyDescent="0.25">
      <c r="A141">
        <v>140</v>
      </c>
      <c r="B141" s="2">
        <v>46005.322616928701</v>
      </c>
      <c r="C141" t="s">
        <v>14</v>
      </c>
      <c r="D141" t="s">
        <v>158</v>
      </c>
      <c r="E141" t="s">
        <v>169</v>
      </c>
      <c r="F141">
        <v>3779.22</v>
      </c>
      <c r="G141" t="s">
        <v>182</v>
      </c>
      <c r="H141" t="s">
        <v>201</v>
      </c>
      <c r="I141" t="s">
        <v>207</v>
      </c>
      <c r="J141" t="s">
        <v>225</v>
      </c>
      <c r="K141" t="s">
        <v>235</v>
      </c>
      <c r="L141" t="s">
        <v>237</v>
      </c>
    </row>
    <row r="142" spans="1:12" x14ac:dyDescent="0.25">
      <c r="A142">
        <v>141</v>
      </c>
      <c r="B142" s="2">
        <v>46033.322616928701</v>
      </c>
      <c r="C142" t="s">
        <v>14</v>
      </c>
      <c r="D142" t="s">
        <v>159</v>
      </c>
      <c r="E142" t="s">
        <v>171</v>
      </c>
      <c r="F142">
        <v>1912.48</v>
      </c>
      <c r="G142" t="s">
        <v>182</v>
      </c>
      <c r="H142" t="s">
        <v>203</v>
      </c>
      <c r="I142" t="s">
        <v>207</v>
      </c>
      <c r="J142" t="s">
        <v>220</v>
      </c>
      <c r="K142" t="s">
        <v>235</v>
      </c>
      <c r="L142" t="s">
        <v>237</v>
      </c>
    </row>
    <row r="143" spans="1:12" x14ac:dyDescent="0.25">
      <c r="A143">
        <v>142</v>
      </c>
      <c r="B143" s="2">
        <v>45891.322616928701</v>
      </c>
      <c r="C143" t="s">
        <v>16</v>
      </c>
      <c r="D143" t="s">
        <v>160</v>
      </c>
      <c r="E143" t="s">
        <v>169</v>
      </c>
      <c r="F143">
        <v>463.33</v>
      </c>
      <c r="G143" t="s">
        <v>187</v>
      </c>
      <c r="H143" t="s">
        <v>202</v>
      </c>
      <c r="I143" t="s">
        <v>207</v>
      </c>
      <c r="J143" t="s">
        <v>230</v>
      </c>
      <c r="K143" t="s">
        <v>235</v>
      </c>
      <c r="L143" t="s">
        <v>237</v>
      </c>
    </row>
    <row r="144" spans="1:12" x14ac:dyDescent="0.25">
      <c r="A144">
        <v>143</v>
      </c>
      <c r="B144" s="2">
        <v>45898.322616928701</v>
      </c>
      <c r="C144" t="s">
        <v>16</v>
      </c>
      <c r="D144" t="s">
        <v>161</v>
      </c>
      <c r="E144" t="s">
        <v>170</v>
      </c>
      <c r="F144">
        <v>3896.88</v>
      </c>
      <c r="G144" t="s">
        <v>184</v>
      </c>
      <c r="H144" t="s">
        <v>205</v>
      </c>
      <c r="I144" t="s">
        <v>207</v>
      </c>
      <c r="J144" t="s">
        <v>223</v>
      </c>
      <c r="K144" t="s">
        <v>235</v>
      </c>
      <c r="L144" t="s">
        <v>237</v>
      </c>
    </row>
    <row r="145" spans="1:12" x14ac:dyDescent="0.25">
      <c r="A145">
        <v>144</v>
      </c>
      <c r="B145" s="2">
        <v>45875.322616928701</v>
      </c>
      <c r="C145" t="s">
        <v>16</v>
      </c>
      <c r="D145" t="s">
        <v>162</v>
      </c>
      <c r="E145" t="s">
        <v>170</v>
      </c>
      <c r="F145">
        <v>2814.1</v>
      </c>
      <c r="G145" t="s">
        <v>184</v>
      </c>
      <c r="H145" t="s">
        <v>205</v>
      </c>
      <c r="I145" t="s">
        <v>207</v>
      </c>
      <c r="J145" t="s">
        <v>223</v>
      </c>
      <c r="K145" t="s">
        <v>236</v>
      </c>
      <c r="L145" t="s">
        <v>237</v>
      </c>
    </row>
    <row r="146" spans="1:12" x14ac:dyDescent="0.25">
      <c r="A146">
        <v>145</v>
      </c>
      <c r="B146" s="2">
        <v>46022.322616928701</v>
      </c>
      <c r="C146" t="s">
        <v>15</v>
      </c>
      <c r="D146" t="s">
        <v>163</v>
      </c>
      <c r="E146" t="s">
        <v>170</v>
      </c>
      <c r="F146">
        <v>2149.9</v>
      </c>
      <c r="G146" t="s">
        <v>177</v>
      </c>
      <c r="H146" t="s">
        <v>204</v>
      </c>
      <c r="I146" t="s">
        <v>206</v>
      </c>
      <c r="J146" t="s">
        <v>211</v>
      </c>
      <c r="K146" t="s">
        <v>236</v>
      </c>
      <c r="L146" t="s">
        <v>237</v>
      </c>
    </row>
    <row r="147" spans="1:12" x14ac:dyDescent="0.25">
      <c r="A147">
        <v>146</v>
      </c>
      <c r="B147" s="2">
        <v>45933.322616928701</v>
      </c>
      <c r="C147" t="s">
        <v>13</v>
      </c>
      <c r="D147" t="s">
        <v>164</v>
      </c>
      <c r="E147" t="s">
        <v>171</v>
      </c>
      <c r="F147">
        <v>4536.45</v>
      </c>
      <c r="G147" t="s">
        <v>176</v>
      </c>
      <c r="H147" t="s">
        <v>201</v>
      </c>
      <c r="I147" t="s">
        <v>207</v>
      </c>
      <c r="J147" t="s">
        <v>216</v>
      </c>
      <c r="K147" t="s">
        <v>235</v>
      </c>
      <c r="L147" t="s">
        <v>237</v>
      </c>
    </row>
    <row r="148" spans="1:12" x14ac:dyDescent="0.25">
      <c r="A148">
        <v>147</v>
      </c>
      <c r="B148" s="2">
        <v>45948.322616928701</v>
      </c>
      <c r="C148" t="s">
        <v>14</v>
      </c>
      <c r="D148" t="s">
        <v>165</v>
      </c>
      <c r="E148" t="s">
        <v>169</v>
      </c>
      <c r="F148">
        <v>600.42999999999995</v>
      </c>
      <c r="G148" t="s">
        <v>182</v>
      </c>
      <c r="H148" t="s">
        <v>201</v>
      </c>
      <c r="I148" t="s">
        <v>207</v>
      </c>
      <c r="J148" t="s">
        <v>222</v>
      </c>
      <c r="K148" t="s">
        <v>235</v>
      </c>
      <c r="L148" t="s">
        <v>237</v>
      </c>
    </row>
    <row r="149" spans="1:12" x14ac:dyDescent="0.25">
      <c r="A149">
        <v>148</v>
      </c>
      <c r="B149" s="2">
        <v>45890.322616928701</v>
      </c>
      <c r="C149" t="s">
        <v>15</v>
      </c>
      <c r="D149" t="s">
        <v>166</v>
      </c>
      <c r="E149" t="s">
        <v>169</v>
      </c>
      <c r="F149">
        <v>2488.4899999999998</v>
      </c>
      <c r="G149" t="s">
        <v>194</v>
      </c>
      <c r="H149" t="s">
        <v>200</v>
      </c>
      <c r="I149" t="s">
        <v>207</v>
      </c>
      <c r="J149" t="s">
        <v>214</v>
      </c>
      <c r="K149" t="s">
        <v>236</v>
      </c>
      <c r="L149" t="s">
        <v>237</v>
      </c>
    </row>
    <row r="150" spans="1:12" x14ac:dyDescent="0.25">
      <c r="A150">
        <v>149</v>
      </c>
      <c r="B150" s="2">
        <v>45928.322616928701</v>
      </c>
      <c r="C150" t="s">
        <v>16</v>
      </c>
      <c r="D150" t="s">
        <v>167</v>
      </c>
      <c r="E150" t="s">
        <v>169</v>
      </c>
      <c r="F150">
        <v>106.2</v>
      </c>
      <c r="G150" t="s">
        <v>179</v>
      </c>
      <c r="H150" t="s">
        <v>202</v>
      </c>
      <c r="I150" t="s">
        <v>207</v>
      </c>
      <c r="J150" t="s">
        <v>230</v>
      </c>
      <c r="K150" t="s">
        <v>235</v>
      </c>
      <c r="L150" t="s">
        <v>237</v>
      </c>
    </row>
    <row r="151" spans="1:12" x14ac:dyDescent="0.25">
      <c r="A151">
        <v>150</v>
      </c>
      <c r="B151" s="2">
        <v>46032.322616928701</v>
      </c>
      <c r="C151" t="s">
        <v>14</v>
      </c>
      <c r="D151" t="s">
        <v>168</v>
      </c>
      <c r="E151" t="s">
        <v>170</v>
      </c>
      <c r="F151">
        <v>2369.87</v>
      </c>
      <c r="G151" t="s">
        <v>183</v>
      </c>
      <c r="H151" t="s">
        <v>203</v>
      </c>
      <c r="I151" t="s">
        <v>207</v>
      </c>
      <c r="J151" t="s">
        <v>220</v>
      </c>
      <c r="K151" t="s">
        <v>235</v>
      </c>
      <c r="L151" t="s">
        <v>237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FB52C-F7CD-4622-A7A8-18DCFC1CA8B6}">
  <dimension ref="A1:O151"/>
  <sheetViews>
    <sheetView tabSelected="1" topLeftCell="C1" workbookViewId="0">
      <selection activeCell="P112" sqref="P112"/>
    </sheetView>
  </sheetViews>
  <sheetFormatPr defaultRowHeight="15" x14ac:dyDescent="0.25"/>
  <cols>
    <col min="1" max="1" width="13.42578125" style="3" customWidth="1"/>
    <col min="2" max="2" width="18.28515625" style="5" bestFit="1" customWidth="1"/>
    <col min="3" max="3" width="14" style="3" bestFit="1" customWidth="1"/>
    <col min="4" max="4" width="19.28515625" style="3" bestFit="1" customWidth="1"/>
    <col min="5" max="5" width="17.28515625" style="3" customWidth="1"/>
    <col min="6" max="6" width="10.28515625" style="7" customWidth="1"/>
    <col min="7" max="7" width="16" style="3" bestFit="1" customWidth="1"/>
    <col min="8" max="8" width="11.42578125" style="3" bestFit="1" customWidth="1"/>
    <col min="9" max="9" width="11.5703125" style="3" customWidth="1"/>
    <col min="10" max="10" width="16.28515625" style="3" bestFit="1" customWidth="1"/>
    <col min="11" max="11" width="17.42578125" style="3" customWidth="1"/>
    <col min="12" max="12" width="8.42578125" style="3" customWidth="1"/>
    <col min="13" max="13" width="12" style="3" customWidth="1"/>
    <col min="14" max="14" width="9.140625" style="3"/>
    <col min="15" max="15" width="16.7109375" style="3" customWidth="1"/>
    <col min="16" max="16384" width="9.140625" style="3"/>
  </cols>
  <sheetData>
    <row r="1" spans="1:15" x14ac:dyDescent="0.25">
      <c r="A1" s="1" t="s">
        <v>0</v>
      </c>
      <c r="B1" s="4" t="s">
        <v>1</v>
      </c>
      <c r="C1" s="1" t="s">
        <v>2</v>
      </c>
      <c r="D1" s="1" t="s">
        <v>3</v>
      </c>
      <c r="E1" s="1" t="s">
        <v>4</v>
      </c>
      <c r="F1" s="6" t="s">
        <v>5</v>
      </c>
      <c r="G1" s="1" t="s">
        <v>6</v>
      </c>
      <c r="H1" s="1" t="s">
        <v>7</v>
      </c>
      <c r="I1" s="1" t="s">
        <v>8</v>
      </c>
      <c r="J1" s="1" t="s">
        <v>9</v>
      </c>
      <c r="K1" s="1" t="s">
        <v>10</v>
      </c>
      <c r="L1" s="1" t="s">
        <v>11</v>
      </c>
      <c r="M1" s="3" t="s">
        <v>238</v>
      </c>
      <c r="N1" s="3" t="s">
        <v>239</v>
      </c>
      <c r="O1" s="3" t="s">
        <v>240</v>
      </c>
    </row>
    <row r="2" spans="1:15" x14ac:dyDescent="0.25">
      <c r="A2" s="3">
        <v>1</v>
      </c>
      <c r="B2" s="5">
        <v>45965</v>
      </c>
      <c r="C2" s="3" t="s">
        <v>12</v>
      </c>
      <c r="D2" s="3" t="s">
        <v>19</v>
      </c>
      <c r="E2" s="3" t="s">
        <v>169</v>
      </c>
      <c r="F2" s="7">
        <v>3986.17</v>
      </c>
      <c r="G2" s="3" t="s">
        <v>172</v>
      </c>
      <c r="H2" s="3" t="s">
        <v>200</v>
      </c>
      <c r="I2" s="3" t="s">
        <v>206</v>
      </c>
      <c r="J2" s="3" t="s">
        <v>208</v>
      </c>
      <c r="K2" s="3" t="s">
        <v>235</v>
      </c>
      <c r="L2" s="3" t="s">
        <v>237</v>
      </c>
      <c r="M2" s="3" t="str">
        <f>TEXT(B2,"mmmm")</f>
        <v>November</v>
      </c>
      <c r="N2" s="3">
        <f>YEAR(B2)</f>
        <v>2025</v>
      </c>
      <c r="O2" s="3" t="str">
        <f>IF(F2&gt;3000,"high","normal")</f>
        <v>high</v>
      </c>
    </row>
    <row r="3" spans="1:15" x14ac:dyDescent="0.25">
      <c r="A3" s="3">
        <v>2</v>
      </c>
      <c r="B3" s="5">
        <v>46042</v>
      </c>
      <c r="C3" s="3" t="s">
        <v>13</v>
      </c>
      <c r="D3" s="3" t="s">
        <v>20</v>
      </c>
      <c r="E3" s="3" t="s">
        <v>169</v>
      </c>
      <c r="F3" s="7">
        <v>1390.62</v>
      </c>
      <c r="G3" s="3" t="s">
        <v>173</v>
      </c>
      <c r="H3" s="3" t="s">
        <v>201</v>
      </c>
      <c r="I3" s="3" t="s">
        <v>207</v>
      </c>
      <c r="J3" s="3" t="s">
        <v>209</v>
      </c>
      <c r="K3" s="3" t="s">
        <v>236</v>
      </c>
      <c r="L3" s="3" t="s">
        <v>237</v>
      </c>
      <c r="M3" s="3" t="str">
        <f t="shared" ref="M3:M66" si="0">TEXT(B3,"mmmm")</f>
        <v>January</v>
      </c>
      <c r="N3" s="3">
        <f t="shared" ref="N3:N66" si="1">YEAR(B3)</f>
        <v>2026</v>
      </c>
      <c r="O3" s="3" t="str">
        <f t="shared" ref="O3:O66" si="2">IF(F3&gt;3000,"high","normal")</f>
        <v>normal</v>
      </c>
    </row>
    <row r="4" spans="1:15" x14ac:dyDescent="0.25">
      <c r="A4" s="3">
        <v>3</v>
      </c>
      <c r="B4" s="5">
        <v>45955</v>
      </c>
      <c r="C4" s="3" t="s">
        <v>14</v>
      </c>
      <c r="D4" s="3" t="s">
        <v>21</v>
      </c>
      <c r="E4" s="3" t="s">
        <v>170</v>
      </c>
      <c r="F4" s="7">
        <v>2222.91</v>
      </c>
      <c r="G4" s="3" t="s">
        <v>174</v>
      </c>
      <c r="H4" s="3" t="s">
        <v>202</v>
      </c>
      <c r="I4" s="3" t="s">
        <v>207</v>
      </c>
      <c r="J4" s="3" t="s">
        <v>210</v>
      </c>
      <c r="K4" s="3" t="s">
        <v>235</v>
      </c>
      <c r="L4" s="3" t="s">
        <v>237</v>
      </c>
      <c r="M4" s="3" t="str">
        <f t="shared" si="0"/>
        <v>October</v>
      </c>
      <c r="N4" s="3">
        <f t="shared" si="1"/>
        <v>2025</v>
      </c>
      <c r="O4" s="3" t="str">
        <f t="shared" si="2"/>
        <v>normal</v>
      </c>
    </row>
    <row r="5" spans="1:15" x14ac:dyDescent="0.25">
      <c r="A5" s="3">
        <v>4</v>
      </c>
      <c r="B5" s="5">
        <v>45877</v>
      </c>
      <c r="C5" s="3" t="s">
        <v>12</v>
      </c>
      <c r="D5" s="3" t="s">
        <v>22</v>
      </c>
      <c r="E5" s="3" t="s">
        <v>169</v>
      </c>
      <c r="F5" s="7">
        <v>438.36</v>
      </c>
      <c r="G5" s="3" t="s">
        <v>175</v>
      </c>
      <c r="H5" s="3" t="s">
        <v>202</v>
      </c>
      <c r="I5" s="3" t="s">
        <v>207</v>
      </c>
      <c r="J5" s="3" t="s">
        <v>208</v>
      </c>
      <c r="K5" s="3" t="s">
        <v>235</v>
      </c>
      <c r="L5" s="3" t="s">
        <v>237</v>
      </c>
      <c r="M5" s="3" t="str">
        <f t="shared" si="0"/>
        <v>August</v>
      </c>
      <c r="N5" s="3">
        <f t="shared" si="1"/>
        <v>2025</v>
      </c>
      <c r="O5" s="3" t="str">
        <f t="shared" si="2"/>
        <v>normal</v>
      </c>
    </row>
    <row r="6" spans="1:15" x14ac:dyDescent="0.25">
      <c r="A6" s="3">
        <v>5</v>
      </c>
      <c r="B6" s="5">
        <v>45969</v>
      </c>
      <c r="C6" s="3" t="s">
        <v>13</v>
      </c>
      <c r="D6" s="3" t="s">
        <v>23</v>
      </c>
      <c r="E6" s="3" t="s">
        <v>171</v>
      </c>
      <c r="F6" s="7">
        <v>175.49</v>
      </c>
      <c r="G6" s="3" t="s">
        <v>176</v>
      </c>
      <c r="H6" s="3" t="s">
        <v>203</v>
      </c>
      <c r="I6" s="3" t="s">
        <v>206</v>
      </c>
      <c r="J6" s="3" t="s">
        <v>209</v>
      </c>
      <c r="K6" s="3" t="s">
        <v>235</v>
      </c>
      <c r="L6" s="3" t="s">
        <v>237</v>
      </c>
      <c r="M6" s="3" t="str">
        <f t="shared" si="0"/>
        <v>November</v>
      </c>
      <c r="N6" s="3">
        <f t="shared" si="1"/>
        <v>2025</v>
      </c>
      <c r="O6" s="3" t="str">
        <f t="shared" si="2"/>
        <v>normal</v>
      </c>
    </row>
    <row r="7" spans="1:15" x14ac:dyDescent="0.25">
      <c r="A7" s="3">
        <v>6</v>
      </c>
      <c r="B7" s="5">
        <v>45934</v>
      </c>
      <c r="C7" s="3" t="s">
        <v>15</v>
      </c>
      <c r="D7" s="3" t="s">
        <v>24</v>
      </c>
      <c r="E7" s="3" t="s">
        <v>170</v>
      </c>
      <c r="F7" s="7">
        <v>4815.1099999999997</v>
      </c>
      <c r="G7" s="3" t="s">
        <v>177</v>
      </c>
      <c r="H7" s="3" t="s">
        <v>204</v>
      </c>
      <c r="I7" s="3" t="s">
        <v>207</v>
      </c>
      <c r="J7" s="3" t="s">
        <v>211</v>
      </c>
      <c r="K7" s="3" t="s">
        <v>235</v>
      </c>
      <c r="L7" s="3" t="s">
        <v>237</v>
      </c>
      <c r="M7" s="3" t="str">
        <f t="shared" si="0"/>
        <v>October</v>
      </c>
      <c r="N7" s="3">
        <f t="shared" si="1"/>
        <v>2025</v>
      </c>
      <c r="O7" s="3" t="str">
        <f t="shared" si="2"/>
        <v>high</v>
      </c>
    </row>
    <row r="8" spans="1:15" x14ac:dyDescent="0.25">
      <c r="A8" s="3">
        <v>7</v>
      </c>
      <c r="B8" s="5">
        <v>45883</v>
      </c>
      <c r="C8" s="3" t="s">
        <v>15</v>
      </c>
      <c r="D8" s="3" t="s">
        <v>25</v>
      </c>
      <c r="E8" s="3" t="s">
        <v>171</v>
      </c>
      <c r="F8" s="7">
        <v>4188.1000000000004</v>
      </c>
      <c r="G8" s="3" t="s">
        <v>178</v>
      </c>
      <c r="H8" s="3" t="s">
        <v>200</v>
      </c>
      <c r="I8" s="3" t="s">
        <v>207</v>
      </c>
      <c r="J8" s="3" t="s">
        <v>212</v>
      </c>
      <c r="K8" s="3" t="s">
        <v>235</v>
      </c>
      <c r="L8" s="3" t="s">
        <v>237</v>
      </c>
      <c r="M8" s="3" t="str">
        <f t="shared" si="0"/>
        <v>August</v>
      </c>
      <c r="N8" s="3">
        <f t="shared" si="1"/>
        <v>2025</v>
      </c>
      <c r="O8" s="3" t="str">
        <f t="shared" si="2"/>
        <v>high</v>
      </c>
    </row>
    <row r="9" spans="1:15" x14ac:dyDescent="0.25">
      <c r="A9" s="3">
        <v>8</v>
      </c>
      <c r="B9" s="5">
        <v>45965</v>
      </c>
      <c r="C9" s="3" t="s">
        <v>15</v>
      </c>
      <c r="D9" s="3" t="s">
        <v>26</v>
      </c>
      <c r="E9" s="3" t="s">
        <v>171</v>
      </c>
      <c r="F9" s="7">
        <v>3495.07</v>
      </c>
      <c r="G9" s="3" t="s">
        <v>177</v>
      </c>
      <c r="H9" s="3" t="s">
        <v>200</v>
      </c>
      <c r="I9" s="3" t="s">
        <v>207</v>
      </c>
      <c r="J9" s="3" t="s">
        <v>212</v>
      </c>
      <c r="K9" s="3" t="s">
        <v>235</v>
      </c>
      <c r="L9" s="3" t="s">
        <v>237</v>
      </c>
      <c r="M9" s="3" t="str">
        <f t="shared" si="0"/>
        <v>November</v>
      </c>
      <c r="N9" s="3">
        <f t="shared" si="1"/>
        <v>2025</v>
      </c>
      <c r="O9" s="3" t="str">
        <f t="shared" si="2"/>
        <v>high</v>
      </c>
    </row>
    <row r="10" spans="1:15" x14ac:dyDescent="0.25">
      <c r="A10" s="3">
        <v>9</v>
      </c>
      <c r="B10" s="5">
        <v>45984</v>
      </c>
      <c r="C10" s="3" t="s">
        <v>15</v>
      </c>
      <c r="D10" s="3" t="s">
        <v>27</v>
      </c>
      <c r="E10" s="3" t="s">
        <v>169</v>
      </c>
      <c r="F10" s="7">
        <v>2074.3200000000002</v>
      </c>
      <c r="G10" s="3" t="s">
        <v>178</v>
      </c>
      <c r="H10" s="3" t="s">
        <v>205</v>
      </c>
      <c r="I10" s="3" t="s">
        <v>207</v>
      </c>
      <c r="J10" s="3" t="s">
        <v>213</v>
      </c>
      <c r="K10" s="3" t="s">
        <v>235</v>
      </c>
      <c r="L10" s="3" t="s">
        <v>237</v>
      </c>
      <c r="M10" s="3" t="str">
        <f t="shared" si="0"/>
        <v>November</v>
      </c>
      <c r="N10" s="3">
        <f t="shared" si="1"/>
        <v>2025</v>
      </c>
      <c r="O10" s="3" t="str">
        <f t="shared" si="2"/>
        <v>normal</v>
      </c>
    </row>
    <row r="11" spans="1:15" x14ac:dyDescent="0.25">
      <c r="A11" s="3">
        <v>10</v>
      </c>
      <c r="B11" s="5">
        <v>45937</v>
      </c>
      <c r="C11" s="3" t="s">
        <v>15</v>
      </c>
      <c r="D11" s="3" t="s">
        <v>28</v>
      </c>
      <c r="E11" s="3" t="s">
        <v>169</v>
      </c>
      <c r="F11" s="7">
        <v>907.81</v>
      </c>
      <c r="G11" s="3" t="s">
        <v>177</v>
      </c>
      <c r="H11" s="3" t="s">
        <v>203</v>
      </c>
      <c r="I11" s="3" t="s">
        <v>207</v>
      </c>
      <c r="J11" s="3" t="s">
        <v>214</v>
      </c>
      <c r="K11" s="3" t="s">
        <v>235</v>
      </c>
      <c r="L11" s="3" t="s">
        <v>237</v>
      </c>
      <c r="M11" s="3" t="str">
        <f t="shared" si="0"/>
        <v>October</v>
      </c>
      <c r="N11" s="3">
        <f t="shared" si="1"/>
        <v>2025</v>
      </c>
      <c r="O11" s="3" t="str">
        <f t="shared" si="2"/>
        <v>normal</v>
      </c>
    </row>
    <row r="12" spans="1:15" x14ac:dyDescent="0.25">
      <c r="A12" s="3">
        <v>11</v>
      </c>
      <c r="B12" s="5">
        <v>45950</v>
      </c>
      <c r="C12" s="3" t="s">
        <v>13</v>
      </c>
      <c r="D12" s="3" t="s">
        <v>29</v>
      </c>
      <c r="E12" s="3" t="s">
        <v>169</v>
      </c>
      <c r="F12" s="7">
        <v>824.36</v>
      </c>
      <c r="G12" s="3" t="s">
        <v>176</v>
      </c>
      <c r="H12" s="3" t="s">
        <v>205</v>
      </c>
      <c r="I12" s="3" t="s">
        <v>206</v>
      </c>
      <c r="J12" s="3" t="s">
        <v>215</v>
      </c>
      <c r="K12" s="3" t="s">
        <v>235</v>
      </c>
      <c r="L12" s="3" t="s">
        <v>237</v>
      </c>
      <c r="M12" s="3" t="str">
        <f t="shared" si="0"/>
        <v>October</v>
      </c>
      <c r="N12" s="3">
        <f t="shared" si="1"/>
        <v>2025</v>
      </c>
      <c r="O12" s="3" t="str">
        <f t="shared" si="2"/>
        <v>normal</v>
      </c>
    </row>
    <row r="13" spans="1:15" x14ac:dyDescent="0.25">
      <c r="A13" s="3">
        <v>12</v>
      </c>
      <c r="B13" s="5">
        <v>45979</v>
      </c>
      <c r="C13" s="3" t="s">
        <v>13</v>
      </c>
      <c r="D13" s="3" t="s">
        <v>30</v>
      </c>
      <c r="E13" s="3" t="s">
        <v>169</v>
      </c>
      <c r="F13" s="7">
        <v>1288.7</v>
      </c>
      <c r="G13" s="3" t="s">
        <v>173</v>
      </c>
      <c r="H13" s="3" t="s">
        <v>205</v>
      </c>
      <c r="I13" s="3" t="s">
        <v>207</v>
      </c>
      <c r="J13" s="3" t="s">
        <v>216</v>
      </c>
      <c r="K13" s="3" t="s">
        <v>235</v>
      </c>
      <c r="L13" s="3" t="s">
        <v>237</v>
      </c>
      <c r="M13" s="3" t="str">
        <f t="shared" si="0"/>
        <v>November</v>
      </c>
      <c r="N13" s="3">
        <f t="shared" si="1"/>
        <v>2025</v>
      </c>
      <c r="O13" s="3" t="str">
        <f t="shared" si="2"/>
        <v>normal</v>
      </c>
    </row>
    <row r="14" spans="1:15" x14ac:dyDescent="0.25">
      <c r="A14" s="3">
        <v>13</v>
      </c>
      <c r="B14" s="5">
        <v>45962</v>
      </c>
      <c r="C14" s="3" t="s">
        <v>16</v>
      </c>
      <c r="D14" s="3" t="s">
        <v>31</v>
      </c>
      <c r="E14" s="3" t="s">
        <v>169</v>
      </c>
      <c r="F14" s="7">
        <v>2768.67</v>
      </c>
      <c r="G14" s="3" t="s">
        <v>179</v>
      </c>
      <c r="H14" s="3" t="s">
        <v>205</v>
      </c>
      <c r="I14" s="3" t="s">
        <v>207</v>
      </c>
      <c r="J14" s="3" t="s">
        <v>217</v>
      </c>
      <c r="K14" s="3" t="s">
        <v>235</v>
      </c>
      <c r="L14" s="3" t="s">
        <v>237</v>
      </c>
      <c r="M14" s="3" t="str">
        <f t="shared" si="0"/>
        <v>November</v>
      </c>
      <c r="N14" s="3">
        <f t="shared" si="1"/>
        <v>2025</v>
      </c>
      <c r="O14" s="3" t="str">
        <f t="shared" si="2"/>
        <v>normal</v>
      </c>
    </row>
    <row r="15" spans="1:15" x14ac:dyDescent="0.25">
      <c r="A15" s="3">
        <v>14</v>
      </c>
      <c r="B15" s="5">
        <v>45966</v>
      </c>
      <c r="C15" s="3" t="s">
        <v>17</v>
      </c>
      <c r="D15" s="3" t="s">
        <v>32</v>
      </c>
      <c r="E15" s="3" t="s">
        <v>170</v>
      </c>
      <c r="F15" s="7">
        <v>3587.25</v>
      </c>
      <c r="G15" s="3" t="s">
        <v>180</v>
      </c>
      <c r="H15" s="3" t="s">
        <v>204</v>
      </c>
      <c r="I15" s="3" t="s">
        <v>207</v>
      </c>
      <c r="J15" s="3" t="s">
        <v>218</v>
      </c>
      <c r="K15" s="3" t="s">
        <v>235</v>
      </c>
      <c r="L15" s="3" t="s">
        <v>237</v>
      </c>
      <c r="M15" s="3" t="str">
        <f t="shared" si="0"/>
        <v>November</v>
      </c>
      <c r="N15" s="3">
        <f t="shared" si="1"/>
        <v>2025</v>
      </c>
      <c r="O15" s="3" t="str">
        <f t="shared" si="2"/>
        <v>high</v>
      </c>
    </row>
    <row r="16" spans="1:15" x14ac:dyDescent="0.25">
      <c r="A16" s="3">
        <v>15</v>
      </c>
      <c r="B16" s="5">
        <v>46014</v>
      </c>
      <c r="C16" s="3" t="s">
        <v>18</v>
      </c>
      <c r="D16" s="3" t="s">
        <v>33</v>
      </c>
      <c r="E16" s="3" t="s">
        <v>171</v>
      </c>
      <c r="F16" s="7">
        <v>3317.98</v>
      </c>
      <c r="G16" s="3" t="s">
        <v>181</v>
      </c>
      <c r="H16" s="3" t="s">
        <v>204</v>
      </c>
      <c r="I16" s="3" t="s">
        <v>207</v>
      </c>
      <c r="J16" s="3" t="s">
        <v>219</v>
      </c>
      <c r="K16" s="3" t="s">
        <v>235</v>
      </c>
      <c r="L16" s="3" t="s">
        <v>237</v>
      </c>
      <c r="M16" s="3" t="str">
        <f t="shared" si="0"/>
        <v>December</v>
      </c>
      <c r="N16" s="3">
        <f t="shared" si="1"/>
        <v>2025</v>
      </c>
      <c r="O16" s="3" t="str">
        <f t="shared" si="2"/>
        <v>high</v>
      </c>
    </row>
    <row r="17" spans="1:15" x14ac:dyDescent="0.25">
      <c r="A17" s="3">
        <v>16</v>
      </c>
      <c r="B17" s="5">
        <v>45993</v>
      </c>
      <c r="C17" s="3" t="s">
        <v>15</v>
      </c>
      <c r="D17" s="3" t="s">
        <v>34</v>
      </c>
      <c r="E17" s="3" t="s">
        <v>171</v>
      </c>
      <c r="F17" s="7">
        <v>1435.67</v>
      </c>
      <c r="G17" s="3" t="s">
        <v>178</v>
      </c>
      <c r="H17" s="3" t="s">
        <v>201</v>
      </c>
      <c r="I17" s="3" t="s">
        <v>206</v>
      </c>
      <c r="J17" s="3" t="s">
        <v>212</v>
      </c>
      <c r="K17" s="3" t="s">
        <v>235</v>
      </c>
      <c r="L17" s="3" t="s">
        <v>237</v>
      </c>
      <c r="M17" s="3" t="str">
        <f t="shared" si="0"/>
        <v>December</v>
      </c>
      <c r="N17" s="3">
        <f t="shared" si="1"/>
        <v>2025</v>
      </c>
      <c r="O17" s="3" t="str">
        <f t="shared" si="2"/>
        <v>normal</v>
      </c>
    </row>
    <row r="18" spans="1:15" x14ac:dyDescent="0.25">
      <c r="A18" s="3">
        <v>17</v>
      </c>
      <c r="B18" s="5">
        <v>46012</v>
      </c>
      <c r="C18" s="3" t="s">
        <v>14</v>
      </c>
      <c r="D18" s="3" t="s">
        <v>35</v>
      </c>
      <c r="E18" s="3" t="s">
        <v>171</v>
      </c>
      <c r="F18" s="7">
        <v>4776.58</v>
      </c>
      <c r="G18" s="3" t="s">
        <v>182</v>
      </c>
      <c r="H18" s="3" t="s">
        <v>201</v>
      </c>
      <c r="I18" s="3" t="s">
        <v>207</v>
      </c>
      <c r="J18" s="3" t="s">
        <v>220</v>
      </c>
      <c r="K18" s="3" t="s">
        <v>235</v>
      </c>
      <c r="L18" s="3" t="s">
        <v>237</v>
      </c>
      <c r="M18" s="3" t="str">
        <f t="shared" si="0"/>
        <v>December</v>
      </c>
      <c r="N18" s="3">
        <f t="shared" si="1"/>
        <v>2025</v>
      </c>
      <c r="O18" s="3" t="str">
        <f t="shared" si="2"/>
        <v>high</v>
      </c>
    </row>
    <row r="19" spans="1:15" x14ac:dyDescent="0.25">
      <c r="A19" s="3">
        <v>18</v>
      </c>
      <c r="B19" s="5">
        <v>45915</v>
      </c>
      <c r="C19" s="3" t="s">
        <v>18</v>
      </c>
      <c r="D19" s="3" t="s">
        <v>36</v>
      </c>
      <c r="E19" s="3" t="s">
        <v>171</v>
      </c>
      <c r="F19" s="7">
        <v>3702.59</v>
      </c>
      <c r="G19" s="3" t="s">
        <v>181</v>
      </c>
      <c r="H19" s="3" t="s">
        <v>205</v>
      </c>
      <c r="I19" s="3" t="s">
        <v>207</v>
      </c>
      <c r="J19" s="3" t="s">
        <v>221</v>
      </c>
      <c r="K19" s="3" t="s">
        <v>235</v>
      </c>
      <c r="L19" s="3" t="s">
        <v>237</v>
      </c>
      <c r="M19" s="3" t="str">
        <f t="shared" si="0"/>
        <v>September</v>
      </c>
      <c r="N19" s="3">
        <f t="shared" si="1"/>
        <v>2025</v>
      </c>
      <c r="O19" s="3" t="str">
        <f t="shared" si="2"/>
        <v>high</v>
      </c>
    </row>
    <row r="20" spans="1:15" x14ac:dyDescent="0.25">
      <c r="A20" s="3">
        <v>19</v>
      </c>
      <c r="B20" s="5">
        <v>45864</v>
      </c>
      <c r="C20" s="3" t="s">
        <v>13</v>
      </c>
      <c r="D20" s="3" t="s">
        <v>37</v>
      </c>
      <c r="E20" s="3" t="s">
        <v>169</v>
      </c>
      <c r="F20" s="7">
        <v>2794.05</v>
      </c>
      <c r="G20" s="3" t="s">
        <v>176</v>
      </c>
      <c r="H20" s="3" t="s">
        <v>203</v>
      </c>
      <c r="I20" s="3" t="s">
        <v>207</v>
      </c>
      <c r="J20" s="3" t="s">
        <v>209</v>
      </c>
      <c r="K20" s="3" t="s">
        <v>235</v>
      </c>
      <c r="L20" s="3" t="s">
        <v>237</v>
      </c>
      <c r="M20" s="3" t="str">
        <f t="shared" si="0"/>
        <v>July</v>
      </c>
      <c r="N20" s="3">
        <f t="shared" si="1"/>
        <v>2025</v>
      </c>
      <c r="O20" s="3" t="str">
        <f t="shared" si="2"/>
        <v>normal</v>
      </c>
    </row>
    <row r="21" spans="1:15" x14ac:dyDescent="0.25">
      <c r="A21" s="3">
        <v>20</v>
      </c>
      <c r="B21" s="5">
        <v>45950</v>
      </c>
      <c r="C21" s="3" t="s">
        <v>14</v>
      </c>
      <c r="D21" s="3" t="s">
        <v>38</v>
      </c>
      <c r="E21" s="3" t="s">
        <v>171</v>
      </c>
      <c r="F21" s="7">
        <v>3078.02</v>
      </c>
      <c r="G21" s="3" t="s">
        <v>183</v>
      </c>
      <c r="H21" s="3" t="s">
        <v>200</v>
      </c>
      <c r="I21" s="3" t="s">
        <v>207</v>
      </c>
      <c r="J21" s="3" t="s">
        <v>210</v>
      </c>
      <c r="K21" s="3" t="s">
        <v>235</v>
      </c>
      <c r="L21" s="3" t="s">
        <v>237</v>
      </c>
      <c r="M21" s="3" t="str">
        <f t="shared" si="0"/>
        <v>October</v>
      </c>
      <c r="N21" s="3">
        <f t="shared" si="1"/>
        <v>2025</v>
      </c>
      <c r="O21" s="3" t="str">
        <f t="shared" si="2"/>
        <v>high</v>
      </c>
    </row>
    <row r="22" spans="1:15" x14ac:dyDescent="0.25">
      <c r="A22" s="3">
        <v>21</v>
      </c>
      <c r="B22" s="5">
        <v>46020</v>
      </c>
      <c r="C22" s="3" t="s">
        <v>14</v>
      </c>
      <c r="D22" s="3" t="s">
        <v>39</v>
      </c>
      <c r="E22" s="3" t="s">
        <v>170</v>
      </c>
      <c r="F22" s="7">
        <v>2127.02</v>
      </c>
      <c r="G22" s="3" t="s">
        <v>182</v>
      </c>
      <c r="H22" s="3" t="s">
        <v>204</v>
      </c>
      <c r="I22" s="3" t="s">
        <v>207</v>
      </c>
      <c r="J22" s="3" t="s">
        <v>220</v>
      </c>
      <c r="K22" s="3" t="s">
        <v>235</v>
      </c>
      <c r="L22" s="3" t="s">
        <v>237</v>
      </c>
      <c r="M22" s="3" t="str">
        <f t="shared" si="0"/>
        <v>December</v>
      </c>
      <c r="N22" s="3">
        <f t="shared" si="1"/>
        <v>2025</v>
      </c>
      <c r="O22" s="3" t="str">
        <f t="shared" si="2"/>
        <v>normal</v>
      </c>
    </row>
    <row r="23" spans="1:15" x14ac:dyDescent="0.25">
      <c r="A23" s="3">
        <v>22</v>
      </c>
      <c r="B23" s="5">
        <v>45900</v>
      </c>
      <c r="C23" s="3" t="s">
        <v>14</v>
      </c>
      <c r="D23" s="3" t="s">
        <v>40</v>
      </c>
      <c r="E23" s="3" t="s">
        <v>170</v>
      </c>
      <c r="F23" s="7">
        <v>1276.27</v>
      </c>
      <c r="G23" s="3" t="s">
        <v>183</v>
      </c>
      <c r="H23" s="3" t="s">
        <v>203</v>
      </c>
      <c r="I23" s="3" t="s">
        <v>207</v>
      </c>
      <c r="J23" s="3" t="s">
        <v>222</v>
      </c>
      <c r="K23" s="3" t="s">
        <v>235</v>
      </c>
      <c r="L23" s="3" t="s">
        <v>237</v>
      </c>
      <c r="M23" s="3" t="str">
        <f t="shared" si="0"/>
        <v>August</v>
      </c>
      <c r="N23" s="3">
        <f t="shared" si="1"/>
        <v>2025</v>
      </c>
      <c r="O23" s="3" t="str">
        <f t="shared" si="2"/>
        <v>normal</v>
      </c>
    </row>
    <row r="24" spans="1:15" x14ac:dyDescent="0.25">
      <c r="A24" s="3">
        <v>23</v>
      </c>
      <c r="B24" s="5">
        <v>45992</v>
      </c>
      <c r="C24" s="3" t="s">
        <v>16</v>
      </c>
      <c r="D24" s="3" t="s">
        <v>41</v>
      </c>
      <c r="E24" s="3" t="s">
        <v>171</v>
      </c>
      <c r="F24" s="7">
        <v>1812.06</v>
      </c>
      <c r="G24" s="3" t="s">
        <v>184</v>
      </c>
      <c r="H24" s="3" t="s">
        <v>202</v>
      </c>
      <c r="I24" s="3" t="s">
        <v>207</v>
      </c>
      <c r="J24" s="3" t="s">
        <v>223</v>
      </c>
      <c r="K24" s="3" t="s">
        <v>235</v>
      </c>
      <c r="L24" s="3" t="s">
        <v>237</v>
      </c>
      <c r="M24" s="3" t="str">
        <f t="shared" si="0"/>
        <v>December</v>
      </c>
      <c r="N24" s="3">
        <f t="shared" si="1"/>
        <v>2025</v>
      </c>
      <c r="O24" s="3" t="str">
        <f t="shared" si="2"/>
        <v>normal</v>
      </c>
    </row>
    <row r="25" spans="1:15" x14ac:dyDescent="0.25">
      <c r="A25" s="3">
        <v>24</v>
      </c>
      <c r="B25" s="5">
        <v>45883</v>
      </c>
      <c r="C25" s="3" t="s">
        <v>13</v>
      </c>
      <c r="D25" s="3" t="s">
        <v>42</v>
      </c>
      <c r="E25" s="3" t="s">
        <v>171</v>
      </c>
      <c r="F25" s="7">
        <v>3801.34</v>
      </c>
      <c r="G25" s="3" t="s">
        <v>173</v>
      </c>
      <c r="H25" s="3" t="s">
        <v>204</v>
      </c>
      <c r="I25" s="3" t="s">
        <v>207</v>
      </c>
      <c r="J25" s="3" t="s">
        <v>224</v>
      </c>
      <c r="K25" s="3" t="s">
        <v>235</v>
      </c>
      <c r="L25" s="3" t="s">
        <v>237</v>
      </c>
      <c r="M25" s="3" t="str">
        <f t="shared" si="0"/>
        <v>August</v>
      </c>
      <c r="N25" s="3">
        <f t="shared" si="1"/>
        <v>2025</v>
      </c>
      <c r="O25" s="3" t="str">
        <f t="shared" si="2"/>
        <v>high</v>
      </c>
    </row>
    <row r="26" spans="1:15" x14ac:dyDescent="0.25">
      <c r="A26" s="3">
        <v>25</v>
      </c>
      <c r="B26" s="5">
        <v>46023</v>
      </c>
      <c r="C26" s="3" t="s">
        <v>14</v>
      </c>
      <c r="D26" s="3" t="s">
        <v>43</v>
      </c>
      <c r="E26" s="3" t="s">
        <v>170</v>
      </c>
      <c r="F26" s="7">
        <v>121.25</v>
      </c>
      <c r="G26" s="3" t="s">
        <v>182</v>
      </c>
      <c r="H26" s="3" t="s">
        <v>204</v>
      </c>
      <c r="I26" s="3" t="s">
        <v>206</v>
      </c>
      <c r="J26" s="3" t="s">
        <v>225</v>
      </c>
      <c r="K26" s="3" t="s">
        <v>235</v>
      </c>
      <c r="L26" s="3" t="s">
        <v>237</v>
      </c>
      <c r="M26" s="3" t="str">
        <f t="shared" si="0"/>
        <v>January</v>
      </c>
      <c r="N26" s="3">
        <f t="shared" si="1"/>
        <v>2026</v>
      </c>
      <c r="O26" s="3" t="str">
        <f t="shared" si="2"/>
        <v>normal</v>
      </c>
    </row>
    <row r="27" spans="1:15" x14ac:dyDescent="0.25">
      <c r="A27" s="3">
        <v>26</v>
      </c>
      <c r="B27" s="5">
        <v>45920</v>
      </c>
      <c r="C27" s="3" t="s">
        <v>15</v>
      </c>
      <c r="D27" s="3" t="s">
        <v>44</v>
      </c>
      <c r="E27" s="3" t="s">
        <v>170</v>
      </c>
      <c r="F27" s="7">
        <v>624.55999999999995</v>
      </c>
      <c r="G27" s="3" t="s">
        <v>185</v>
      </c>
      <c r="H27" s="3" t="s">
        <v>201</v>
      </c>
      <c r="I27" s="3" t="s">
        <v>206</v>
      </c>
      <c r="J27" s="3" t="s">
        <v>213</v>
      </c>
      <c r="K27" s="3" t="s">
        <v>235</v>
      </c>
      <c r="L27" s="3" t="s">
        <v>237</v>
      </c>
      <c r="M27" s="3" t="str">
        <f t="shared" si="0"/>
        <v>September</v>
      </c>
      <c r="N27" s="3">
        <f t="shared" si="1"/>
        <v>2025</v>
      </c>
      <c r="O27" s="3" t="str">
        <f t="shared" si="2"/>
        <v>normal</v>
      </c>
    </row>
    <row r="28" spans="1:15" x14ac:dyDescent="0.25">
      <c r="A28" s="3">
        <v>27</v>
      </c>
      <c r="B28" s="5">
        <v>45884</v>
      </c>
      <c r="C28" s="3" t="s">
        <v>12</v>
      </c>
      <c r="D28" s="3" t="s">
        <v>45</v>
      </c>
      <c r="E28" s="3" t="s">
        <v>169</v>
      </c>
      <c r="F28" s="7">
        <v>277.70999999999998</v>
      </c>
      <c r="G28" s="3" t="s">
        <v>186</v>
      </c>
      <c r="H28" s="3" t="s">
        <v>200</v>
      </c>
      <c r="I28" s="3" t="s">
        <v>207</v>
      </c>
      <c r="J28" s="3" t="s">
        <v>226</v>
      </c>
      <c r="K28" s="3" t="s">
        <v>235</v>
      </c>
      <c r="L28" s="3" t="s">
        <v>237</v>
      </c>
      <c r="M28" s="3" t="str">
        <f t="shared" si="0"/>
        <v>August</v>
      </c>
      <c r="N28" s="3">
        <f t="shared" si="1"/>
        <v>2025</v>
      </c>
      <c r="O28" s="3" t="str">
        <f t="shared" si="2"/>
        <v>normal</v>
      </c>
    </row>
    <row r="29" spans="1:15" x14ac:dyDescent="0.25">
      <c r="A29" s="3">
        <v>28</v>
      </c>
      <c r="B29" s="5">
        <v>45951</v>
      </c>
      <c r="C29" s="3" t="s">
        <v>14</v>
      </c>
      <c r="D29" s="3" t="s">
        <v>46</v>
      </c>
      <c r="E29" s="3" t="s">
        <v>170</v>
      </c>
      <c r="F29" s="7">
        <v>251.61</v>
      </c>
      <c r="G29" s="3" t="s">
        <v>182</v>
      </c>
      <c r="H29" s="3" t="s">
        <v>200</v>
      </c>
      <c r="I29" s="3" t="s">
        <v>206</v>
      </c>
      <c r="J29" s="3" t="s">
        <v>225</v>
      </c>
      <c r="K29" s="3" t="s">
        <v>235</v>
      </c>
      <c r="L29" s="3" t="s">
        <v>237</v>
      </c>
      <c r="M29" s="3" t="str">
        <f t="shared" si="0"/>
        <v>October</v>
      </c>
      <c r="N29" s="3">
        <f t="shared" si="1"/>
        <v>2025</v>
      </c>
      <c r="O29" s="3" t="str">
        <f t="shared" si="2"/>
        <v>normal</v>
      </c>
    </row>
    <row r="30" spans="1:15" x14ac:dyDescent="0.25">
      <c r="A30" s="3">
        <v>29</v>
      </c>
      <c r="B30" s="5">
        <v>45911</v>
      </c>
      <c r="C30" s="3" t="s">
        <v>16</v>
      </c>
      <c r="D30" s="3" t="s">
        <v>47</v>
      </c>
      <c r="E30" s="3" t="s">
        <v>169</v>
      </c>
      <c r="F30" s="7">
        <v>4284.53</v>
      </c>
      <c r="G30" s="3" t="s">
        <v>187</v>
      </c>
      <c r="H30" s="3" t="s">
        <v>202</v>
      </c>
      <c r="I30" s="3" t="s">
        <v>206</v>
      </c>
      <c r="J30" s="3" t="s">
        <v>217</v>
      </c>
      <c r="K30" s="3" t="s">
        <v>235</v>
      </c>
      <c r="L30" s="3" t="s">
        <v>237</v>
      </c>
      <c r="M30" s="3" t="str">
        <f t="shared" si="0"/>
        <v>September</v>
      </c>
      <c r="N30" s="3">
        <f t="shared" si="1"/>
        <v>2025</v>
      </c>
      <c r="O30" s="3" t="str">
        <f t="shared" si="2"/>
        <v>high</v>
      </c>
    </row>
    <row r="31" spans="1:15" x14ac:dyDescent="0.25">
      <c r="A31" s="3">
        <v>30</v>
      </c>
      <c r="B31" s="5">
        <v>45921</v>
      </c>
      <c r="C31" s="3" t="s">
        <v>18</v>
      </c>
      <c r="D31" s="3" t="s">
        <v>48</v>
      </c>
      <c r="E31" s="3" t="s">
        <v>169</v>
      </c>
      <c r="F31" s="7">
        <v>3533.11</v>
      </c>
      <c r="G31" s="3" t="s">
        <v>181</v>
      </c>
      <c r="H31" s="3" t="s">
        <v>202</v>
      </c>
      <c r="I31" s="3" t="s">
        <v>207</v>
      </c>
      <c r="J31" s="3" t="s">
        <v>227</v>
      </c>
      <c r="K31" s="3" t="s">
        <v>235</v>
      </c>
      <c r="L31" s="3" t="s">
        <v>237</v>
      </c>
      <c r="M31" s="3" t="str">
        <f t="shared" si="0"/>
        <v>September</v>
      </c>
      <c r="N31" s="3">
        <f t="shared" si="1"/>
        <v>2025</v>
      </c>
      <c r="O31" s="3" t="str">
        <f t="shared" si="2"/>
        <v>high</v>
      </c>
    </row>
    <row r="32" spans="1:15" x14ac:dyDescent="0.25">
      <c r="A32" s="3">
        <v>31</v>
      </c>
      <c r="B32" s="5">
        <v>46032</v>
      </c>
      <c r="C32" s="3" t="s">
        <v>13</v>
      </c>
      <c r="D32" s="3" t="s">
        <v>49</v>
      </c>
      <c r="E32" s="3" t="s">
        <v>169</v>
      </c>
      <c r="F32" s="7">
        <v>2397.16</v>
      </c>
      <c r="G32" s="3" t="s">
        <v>188</v>
      </c>
      <c r="H32" s="3" t="s">
        <v>204</v>
      </c>
      <c r="I32" s="3" t="s">
        <v>206</v>
      </c>
      <c r="J32" s="3" t="s">
        <v>209</v>
      </c>
      <c r="K32" s="3" t="s">
        <v>235</v>
      </c>
      <c r="L32" s="3" t="s">
        <v>237</v>
      </c>
      <c r="M32" s="3" t="str">
        <f t="shared" si="0"/>
        <v>January</v>
      </c>
      <c r="N32" s="3">
        <f t="shared" si="1"/>
        <v>2026</v>
      </c>
      <c r="O32" s="3" t="str">
        <f t="shared" si="2"/>
        <v>normal</v>
      </c>
    </row>
    <row r="33" spans="1:15" x14ac:dyDescent="0.25">
      <c r="A33" s="3">
        <v>32</v>
      </c>
      <c r="B33" s="5">
        <v>45877</v>
      </c>
      <c r="C33" s="3" t="s">
        <v>16</v>
      </c>
      <c r="D33" s="3" t="s">
        <v>50</v>
      </c>
      <c r="E33" s="3" t="s">
        <v>169</v>
      </c>
      <c r="F33" s="7">
        <v>534.28</v>
      </c>
      <c r="G33" s="3" t="s">
        <v>187</v>
      </c>
      <c r="H33" s="3" t="s">
        <v>205</v>
      </c>
      <c r="I33" s="3" t="s">
        <v>207</v>
      </c>
      <c r="J33" s="3" t="s">
        <v>228</v>
      </c>
      <c r="K33" s="3" t="s">
        <v>235</v>
      </c>
      <c r="L33" s="3" t="s">
        <v>237</v>
      </c>
      <c r="M33" s="3" t="str">
        <f t="shared" si="0"/>
        <v>August</v>
      </c>
      <c r="N33" s="3">
        <f t="shared" si="1"/>
        <v>2025</v>
      </c>
      <c r="O33" s="3" t="str">
        <f t="shared" si="2"/>
        <v>normal</v>
      </c>
    </row>
    <row r="34" spans="1:15" x14ac:dyDescent="0.25">
      <c r="A34" s="3">
        <v>33</v>
      </c>
      <c r="B34" s="5">
        <v>46037</v>
      </c>
      <c r="C34" s="3" t="s">
        <v>14</v>
      </c>
      <c r="D34" s="3" t="s">
        <v>51</v>
      </c>
      <c r="E34" s="3" t="s">
        <v>169</v>
      </c>
      <c r="F34" s="7">
        <v>2483.5</v>
      </c>
      <c r="G34" s="3" t="s">
        <v>189</v>
      </c>
      <c r="H34" s="3" t="s">
        <v>201</v>
      </c>
      <c r="I34" s="3" t="s">
        <v>206</v>
      </c>
      <c r="J34" s="3" t="s">
        <v>222</v>
      </c>
      <c r="K34" s="3" t="s">
        <v>235</v>
      </c>
      <c r="L34" s="3" t="s">
        <v>237</v>
      </c>
      <c r="M34" s="3" t="str">
        <f t="shared" si="0"/>
        <v>January</v>
      </c>
      <c r="N34" s="3">
        <f t="shared" si="1"/>
        <v>2026</v>
      </c>
      <c r="O34" s="3" t="str">
        <f t="shared" si="2"/>
        <v>normal</v>
      </c>
    </row>
    <row r="35" spans="1:15" x14ac:dyDescent="0.25">
      <c r="A35" s="3">
        <v>34</v>
      </c>
      <c r="B35" s="5">
        <v>45913</v>
      </c>
      <c r="C35" s="3" t="s">
        <v>13</v>
      </c>
      <c r="D35" s="3" t="s">
        <v>52</v>
      </c>
      <c r="E35" s="3" t="s">
        <v>171</v>
      </c>
      <c r="F35" s="7">
        <v>2393.69</v>
      </c>
      <c r="G35" s="3" t="s">
        <v>173</v>
      </c>
      <c r="H35" s="3" t="s">
        <v>201</v>
      </c>
      <c r="I35" s="3" t="s">
        <v>207</v>
      </c>
      <c r="J35" s="3" t="s">
        <v>224</v>
      </c>
      <c r="K35" s="3" t="s">
        <v>235</v>
      </c>
      <c r="L35" s="3" t="s">
        <v>237</v>
      </c>
      <c r="M35" s="3" t="str">
        <f t="shared" si="0"/>
        <v>September</v>
      </c>
      <c r="N35" s="3">
        <f t="shared" si="1"/>
        <v>2025</v>
      </c>
      <c r="O35" s="3" t="str">
        <f t="shared" si="2"/>
        <v>normal</v>
      </c>
    </row>
    <row r="36" spans="1:15" x14ac:dyDescent="0.25">
      <c r="A36" s="3">
        <v>35</v>
      </c>
      <c r="B36" s="5">
        <v>45970</v>
      </c>
      <c r="C36" s="3" t="s">
        <v>12</v>
      </c>
      <c r="D36" s="3" t="s">
        <v>53</v>
      </c>
      <c r="E36" s="3" t="s">
        <v>170</v>
      </c>
      <c r="F36" s="7">
        <v>907.35</v>
      </c>
      <c r="G36" s="3" t="s">
        <v>186</v>
      </c>
      <c r="H36" s="3" t="s">
        <v>204</v>
      </c>
      <c r="I36" s="3" t="s">
        <v>207</v>
      </c>
      <c r="J36" s="3" t="s">
        <v>229</v>
      </c>
      <c r="K36" s="3" t="s">
        <v>235</v>
      </c>
      <c r="L36" s="3" t="s">
        <v>237</v>
      </c>
      <c r="M36" s="3" t="str">
        <f t="shared" si="0"/>
        <v>November</v>
      </c>
      <c r="N36" s="3">
        <f t="shared" si="1"/>
        <v>2025</v>
      </c>
      <c r="O36" s="3" t="str">
        <f t="shared" si="2"/>
        <v>normal</v>
      </c>
    </row>
    <row r="37" spans="1:15" x14ac:dyDescent="0.25">
      <c r="A37" s="3">
        <v>36</v>
      </c>
      <c r="B37" s="5">
        <v>45917</v>
      </c>
      <c r="C37" s="3" t="s">
        <v>14</v>
      </c>
      <c r="D37" s="3" t="s">
        <v>54</v>
      </c>
      <c r="E37" s="3" t="s">
        <v>169</v>
      </c>
      <c r="F37" s="7">
        <v>2197.5700000000002</v>
      </c>
      <c r="G37" s="3" t="s">
        <v>174</v>
      </c>
      <c r="H37" s="3" t="s">
        <v>203</v>
      </c>
      <c r="I37" s="3" t="s">
        <v>207</v>
      </c>
      <c r="J37" s="3" t="s">
        <v>210</v>
      </c>
      <c r="K37" s="3" t="s">
        <v>235</v>
      </c>
      <c r="L37" s="3" t="s">
        <v>237</v>
      </c>
      <c r="M37" s="3" t="str">
        <f t="shared" si="0"/>
        <v>September</v>
      </c>
      <c r="N37" s="3">
        <f t="shared" si="1"/>
        <v>2025</v>
      </c>
      <c r="O37" s="3" t="str">
        <f t="shared" si="2"/>
        <v>normal</v>
      </c>
    </row>
    <row r="38" spans="1:15" x14ac:dyDescent="0.25">
      <c r="A38" s="3">
        <v>37</v>
      </c>
      <c r="B38" s="5">
        <v>45926</v>
      </c>
      <c r="C38" s="3" t="s">
        <v>16</v>
      </c>
      <c r="D38" s="3" t="s">
        <v>55</v>
      </c>
      <c r="E38" s="3" t="s">
        <v>170</v>
      </c>
      <c r="F38" s="7">
        <v>2022.6</v>
      </c>
      <c r="G38" s="3" t="s">
        <v>190</v>
      </c>
      <c r="H38" s="3" t="s">
        <v>205</v>
      </c>
      <c r="I38" s="3" t="s">
        <v>206</v>
      </c>
      <c r="J38" s="3" t="s">
        <v>230</v>
      </c>
      <c r="K38" s="3" t="s">
        <v>235</v>
      </c>
      <c r="L38" s="3" t="s">
        <v>237</v>
      </c>
      <c r="M38" s="3" t="str">
        <f t="shared" si="0"/>
        <v>September</v>
      </c>
      <c r="N38" s="3">
        <f t="shared" si="1"/>
        <v>2025</v>
      </c>
      <c r="O38" s="3" t="str">
        <f t="shared" si="2"/>
        <v>normal</v>
      </c>
    </row>
    <row r="39" spans="1:15" x14ac:dyDescent="0.25">
      <c r="A39" s="3">
        <v>38</v>
      </c>
      <c r="B39" s="5">
        <v>45993</v>
      </c>
      <c r="C39" s="3" t="s">
        <v>17</v>
      </c>
      <c r="D39" s="3" t="s">
        <v>56</v>
      </c>
      <c r="E39" s="3" t="s">
        <v>170</v>
      </c>
      <c r="F39" s="7">
        <v>3098.46</v>
      </c>
      <c r="G39" s="3" t="s">
        <v>180</v>
      </c>
      <c r="H39" s="3" t="s">
        <v>204</v>
      </c>
      <c r="I39" s="3" t="s">
        <v>207</v>
      </c>
      <c r="J39" s="3" t="s">
        <v>231</v>
      </c>
      <c r="K39" s="3" t="s">
        <v>235</v>
      </c>
      <c r="L39" s="3" t="s">
        <v>237</v>
      </c>
      <c r="M39" s="3" t="str">
        <f t="shared" si="0"/>
        <v>December</v>
      </c>
      <c r="N39" s="3">
        <f t="shared" si="1"/>
        <v>2025</v>
      </c>
      <c r="O39" s="3" t="str">
        <f t="shared" si="2"/>
        <v>high</v>
      </c>
    </row>
    <row r="40" spans="1:15" x14ac:dyDescent="0.25">
      <c r="A40" s="3">
        <v>39</v>
      </c>
      <c r="B40" s="5">
        <v>45913</v>
      </c>
      <c r="C40" s="3" t="s">
        <v>15</v>
      </c>
      <c r="D40" s="3" t="s">
        <v>57</v>
      </c>
      <c r="E40" s="3" t="s">
        <v>169</v>
      </c>
      <c r="F40" s="7">
        <v>3193.71</v>
      </c>
      <c r="G40" s="3" t="s">
        <v>185</v>
      </c>
      <c r="H40" s="3" t="s">
        <v>205</v>
      </c>
      <c r="I40" s="3" t="s">
        <v>207</v>
      </c>
      <c r="J40" s="3" t="s">
        <v>211</v>
      </c>
      <c r="K40" s="3" t="s">
        <v>235</v>
      </c>
      <c r="L40" s="3" t="s">
        <v>237</v>
      </c>
      <c r="M40" s="3" t="str">
        <f t="shared" si="0"/>
        <v>September</v>
      </c>
      <c r="N40" s="3">
        <f t="shared" si="1"/>
        <v>2025</v>
      </c>
      <c r="O40" s="3" t="str">
        <f t="shared" si="2"/>
        <v>high</v>
      </c>
    </row>
    <row r="41" spans="1:15" x14ac:dyDescent="0.25">
      <c r="A41" s="3">
        <v>40</v>
      </c>
      <c r="B41" s="5">
        <v>45997</v>
      </c>
      <c r="C41" s="3" t="s">
        <v>18</v>
      </c>
      <c r="D41" s="3" t="s">
        <v>58</v>
      </c>
      <c r="E41" s="3" t="s">
        <v>171</v>
      </c>
      <c r="F41" s="7">
        <v>274.25</v>
      </c>
      <c r="G41" s="3" t="s">
        <v>191</v>
      </c>
      <c r="H41" s="3" t="s">
        <v>205</v>
      </c>
      <c r="I41" s="3" t="s">
        <v>207</v>
      </c>
      <c r="J41" s="3" t="s">
        <v>219</v>
      </c>
      <c r="K41" s="3" t="s">
        <v>235</v>
      </c>
      <c r="L41" s="3" t="s">
        <v>237</v>
      </c>
      <c r="M41" s="3" t="str">
        <f t="shared" si="0"/>
        <v>December</v>
      </c>
      <c r="N41" s="3">
        <f t="shared" si="1"/>
        <v>2025</v>
      </c>
      <c r="O41" s="3" t="str">
        <f t="shared" si="2"/>
        <v>normal</v>
      </c>
    </row>
    <row r="42" spans="1:15" x14ac:dyDescent="0.25">
      <c r="A42" s="3">
        <v>41</v>
      </c>
      <c r="B42" s="5">
        <v>45883</v>
      </c>
      <c r="C42" s="3" t="s">
        <v>16</v>
      </c>
      <c r="D42" s="3" t="s">
        <v>59</v>
      </c>
      <c r="E42" s="3" t="s">
        <v>169</v>
      </c>
      <c r="F42" s="7">
        <v>1904.33</v>
      </c>
      <c r="G42" s="3" t="s">
        <v>184</v>
      </c>
      <c r="H42" s="3" t="s">
        <v>205</v>
      </c>
      <c r="I42" s="3" t="s">
        <v>207</v>
      </c>
      <c r="J42" s="3" t="s">
        <v>223</v>
      </c>
      <c r="K42" s="3" t="s">
        <v>235</v>
      </c>
      <c r="L42" s="3" t="s">
        <v>237</v>
      </c>
      <c r="M42" s="3" t="str">
        <f t="shared" si="0"/>
        <v>August</v>
      </c>
      <c r="N42" s="3">
        <f t="shared" si="1"/>
        <v>2025</v>
      </c>
      <c r="O42" s="3" t="str">
        <f t="shared" si="2"/>
        <v>normal</v>
      </c>
    </row>
    <row r="43" spans="1:15" x14ac:dyDescent="0.25">
      <c r="A43" s="3">
        <v>42</v>
      </c>
      <c r="B43" s="5">
        <v>45935</v>
      </c>
      <c r="C43" s="3" t="s">
        <v>13</v>
      </c>
      <c r="D43" s="3" t="s">
        <v>60</v>
      </c>
      <c r="E43" s="3" t="s">
        <v>171</v>
      </c>
      <c r="F43" s="7">
        <v>3148.01</v>
      </c>
      <c r="G43" s="3" t="s">
        <v>192</v>
      </c>
      <c r="H43" s="3" t="s">
        <v>204</v>
      </c>
      <c r="I43" s="3" t="s">
        <v>207</v>
      </c>
      <c r="J43" s="3" t="s">
        <v>216</v>
      </c>
      <c r="K43" s="3" t="s">
        <v>235</v>
      </c>
      <c r="L43" s="3" t="s">
        <v>237</v>
      </c>
      <c r="M43" s="3" t="str">
        <f t="shared" si="0"/>
        <v>October</v>
      </c>
      <c r="N43" s="3">
        <f t="shared" si="1"/>
        <v>2025</v>
      </c>
      <c r="O43" s="3" t="str">
        <f t="shared" si="2"/>
        <v>high</v>
      </c>
    </row>
    <row r="44" spans="1:15" x14ac:dyDescent="0.25">
      <c r="A44" s="3">
        <v>43</v>
      </c>
      <c r="B44" s="5">
        <v>46029</v>
      </c>
      <c r="C44" s="3" t="s">
        <v>14</v>
      </c>
      <c r="D44" s="3" t="s">
        <v>61</v>
      </c>
      <c r="E44" s="3" t="s">
        <v>170</v>
      </c>
      <c r="F44" s="7">
        <v>2540.52</v>
      </c>
      <c r="G44" s="3" t="s">
        <v>182</v>
      </c>
      <c r="H44" s="3" t="s">
        <v>201</v>
      </c>
      <c r="I44" s="3" t="s">
        <v>206</v>
      </c>
      <c r="J44" s="3" t="s">
        <v>210</v>
      </c>
      <c r="K44" s="3" t="s">
        <v>235</v>
      </c>
      <c r="L44" s="3" t="s">
        <v>237</v>
      </c>
      <c r="M44" s="3" t="str">
        <f t="shared" si="0"/>
        <v>January</v>
      </c>
      <c r="N44" s="3">
        <f t="shared" si="1"/>
        <v>2026</v>
      </c>
      <c r="O44" s="3" t="str">
        <f t="shared" si="2"/>
        <v>normal</v>
      </c>
    </row>
    <row r="45" spans="1:15" x14ac:dyDescent="0.25">
      <c r="A45" s="3">
        <v>44</v>
      </c>
      <c r="B45" s="5">
        <v>45880</v>
      </c>
      <c r="C45" s="3" t="s">
        <v>15</v>
      </c>
      <c r="D45" s="3" t="s">
        <v>62</v>
      </c>
      <c r="E45" s="3" t="s">
        <v>171</v>
      </c>
      <c r="F45" s="7">
        <v>4289.62</v>
      </c>
      <c r="G45" s="3" t="s">
        <v>178</v>
      </c>
      <c r="H45" s="3" t="s">
        <v>201</v>
      </c>
      <c r="I45" s="3" t="s">
        <v>207</v>
      </c>
      <c r="J45" s="3" t="s">
        <v>212</v>
      </c>
      <c r="K45" s="3" t="s">
        <v>235</v>
      </c>
      <c r="L45" s="3" t="s">
        <v>237</v>
      </c>
      <c r="M45" s="3" t="str">
        <f t="shared" si="0"/>
        <v>August</v>
      </c>
      <c r="N45" s="3">
        <f t="shared" si="1"/>
        <v>2025</v>
      </c>
      <c r="O45" s="3" t="str">
        <f t="shared" si="2"/>
        <v>high</v>
      </c>
    </row>
    <row r="46" spans="1:15" x14ac:dyDescent="0.25">
      <c r="A46" s="3">
        <v>45</v>
      </c>
      <c r="B46" s="5">
        <v>45994</v>
      </c>
      <c r="C46" s="3" t="s">
        <v>14</v>
      </c>
      <c r="D46" s="3" t="s">
        <v>63</v>
      </c>
      <c r="E46" s="3" t="s">
        <v>171</v>
      </c>
      <c r="F46" s="7">
        <v>3310.53</v>
      </c>
      <c r="G46" s="3" t="s">
        <v>183</v>
      </c>
      <c r="H46" s="3" t="s">
        <v>205</v>
      </c>
      <c r="I46" s="3" t="s">
        <v>207</v>
      </c>
      <c r="J46" s="3" t="s">
        <v>222</v>
      </c>
      <c r="K46" s="3" t="s">
        <v>235</v>
      </c>
      <c r="L46" s="3" t="s">
        <v>237</v>
      </c>
      <c r="M46" s="3" t="str">
        <f t="shared" si="0"/>
        <v>December</v>
      </c>
      <c r="N46" s="3">
        <f t="shared" si="1"/>
        <v>2025</v>
      </c>
      <c r="O46" s="3" t="str">
        <f t="shared" si="2"/>
        <v>high</v>
      </c>
    </row>
    <row r="47" spans="1:15" x14ac:dyDescent="0.25">
      <c r="A47" s="3">
        <v>46</v>
      </c>
      <c r="B47" s="5">
        <v>45951</v>
      </c>
      <c r="C47" s="3" t="s">
        <v>13</v>
      </c>
      <c r="D47" s="3" t="s">
        <v>64</v>
      </c>
      <c r="E47" s="3" t="s">
        <v>171</v>
      </c>
      <c r="F47" s="7">
        <v>856.53</v>
      </c>
      <c r="G47" s="3" t="s">
        <v>192</v>
      </c>
      <c r="H47" s="3" t="s">
        <v>203</v>
      </c>
      <c r="I47" s="3" t="s">
        <v>207</v>
      </c>
      <c r="J47" s="3" t="s">
        <v>209</v>
      </c>
      <c r="K47" s="3" t="s">
        <v>235</v>
      </c>
      <c r="L47" s="3" t="s">
        <v>237</v>
      </c>
      <c r="M47" s="3" t="str">
        <f t="shared" si="0"/>
        <v>October</v>
      </c>
      <c r="N47" s="3">
        <f t="shared" si="1"/>
        <v>2025</v>
      </c>
      <c r="O47" s="3" t="str">
        <f t="shared" si="2"/>
        <v>normal</v>
      </c>
    </row>
    <row r="48" spans="1:15" x14ac:dyDescent="0.25">
      <c r="A48" s="3">
        <v>47</v>
      </c>
      <c r="B48" s="5">
        <v>45922</v>
      </c>
      <c r="C48" s="3" t="s">
        <v>14</v>
      </c>
      <c r="D48" s="3" t="s">
        <v>65</v>
      </c>
      <c r="E48" s="3" t="s">
        <v>170</v>
      </c>
      <c r="F48" s="7">
        <v>399.32</v>
      </c>
      <c r="G48" s="3" t="s">
        <v>189</v>
      </c>
      <c r="H48" s="3" t="s">
        <v>200</v>
      </c>
      <c r="I48" s="3" t="s">
        <v>207</v>
      </c>
      <c r="J48" s="3" t="s">
        <v>222</v>
      </c>
      <c r="K48" s="3" t="s">
        <v>235</v>
      </c>
      <c r="L48" s="3" t="s">
        <v>237</v>
      </c>
      <c r="M48" s="3" t="str">
        <f t="shared" si="0"/>
        <v>September</v>
      </c>
      <c r="N48" s="3">
        <f t="shared" si="1"/>
        <v>2025</v>
      </c>
      <c r="O48" s="3" t="str">
        <f t="shared" si="2"/>
        <v>normal</v>
      </c>
    </row>
    <row r="49" spans="1:15" x14ac:dyDescent="0.25">
      <c r="A49" s="3">
        <v>48</v>
      </c>
      <c r="B49" s="5">
        <v>45876</v>
      </c>
      <c r="C49" s="3" t="s">
        <v>17</v>
      </c>
      <c r="D49" s="3" t="s">
        <v>66</v>
      </c>
      <c r="E49" s="3" t="s">
        <v>170</v>
      </c>
      <c r="F49" s="7">
        <v>3229.98</v>
      </c>
      <c r="G49" s="3" t="s">
        <v>193</v>
      </c>
      <c r="H49" s="3" t="s">
        <v>204</v>
      </c>
      <c r="I49" s="3" t="s">
        <v>207</v>
      </c>
      <c r="J49" s="3" t="s">
        <v>232</v>
      </c>
      <c r="K49" s="3" t="s">
        <v>235</v>
      </c>
      <c r="L49" s="3" t="s">
        <v>237</v>
      </c>
      <c r="M49" s="3" t="str">
        <f t="shared" si="0"/>
        <v>August</v>
      </c>
      <c r="N49" s="3">
        <f t="shared" si="1"/>
        <v>2025</v>
      </c>
      <c r="O49" s="3" t="str">
        <f t="shared" si="2"/>
        <v>high</v>
      </c>
    </row>
    <row r="50" spans="1:15" x14ac:dyDescent="0.25">
      <c r="A50" s="3">
        <v>49</v>
      </c>
      <c r="B50" s="5">
        <v>45871</v>
      </c>
      <c r="C50" s="3" t="s">
        <v>15</v>
      </c>
      <c r="D50" s="3" t="s">
        <v>67</v>
      </c>
      <c r="E50" s="3" t="s">
        <v>171</v>
      </c>
      <c r="F50" s="7">
        <v>181.23</v>
      </c>
      <c r="G50" s="3" t="s">
        <v>178</v>
      </c>
      <c r="H50" s="3" t="s">
        <v>200</v>
      </c>
      <c r="I50" s="3" t="s">
        <v>207</v>
      </c>
      <c r="J50" s="3" t="s">
        <v>214</v>
      </c>
      <c r="K50" s="3" t="s">
        <v>235</v>
      </c>
      <c r="L50" s="3" t="s">
        <v>237</v>
      </c>
      <c r="M50" s="3" t="str">
        <f t="shared" si="0"/>
        <v>August</v>
      </c>
      <c r="N50" s="3">
        <f t="shared" si="1"/>
        <v>2025</v>
      </c>
      <c r="O50" s="3" t="str">
        <f t="shared" si="2"/>
        <v>normal</v>
      </c>
    </row>
    <row r="51" spans="1:15" x14ac:dyDescent="0.25">
      <c r="A51" s="3">
        <v>50</v>
      </c>
      <c r="B51" s="5">
        <v>45952</v>
      </c>
      <c r="C51" s="3" t="s">
        <v>15</v>
      </c>
      <c r="D51" s="3" t="s">
        <v>68</v>
      </c>
      <c r="E51" s="3" t="s">
        <v>171</v>
      </c>
      <c r="F51" s="7">
        <v>2949.59</v>
      </c>
      <c r="G51" s="3" t="s">
        <v>194</v>
      </c>
      <c r="H51" s="3" t="s">
        <v>203</v>
      </c>
      <c r="I51" s="3" t="s">
        <v>206</v>
      </c>
      <c r="J51" s="3" t="s">
        <v>213</v>
      </c>
      <c r="K51" s="3" t="s">
        <v>236</v>
      </c>
      <c r="L51" s="3" t="s">
        <v>237</v>
      </c>
      <c r="M51" s="3" t="str">
        <f t="shared" si="0"/>
        <v>October</v>
      </c>
      <c r="N51" s="3">
        <f t="shared" si="1"/>
        <v>2025</v>
      </c>
      <c r="O51" s="3" t="str">
        <f t="shared" si="2"/>
        <v>normal</v>
      </c>
    </row>
    <row r="52" spans="1:15" x14ac:dyDescent="0.25">
      <c r="A52" s="3">
        <v>51</v>
      </c>
      <c r="B52" s="5">
        <v>45915</v>
      </c>
      <c r="C52" s="3" t="s">
        <v>13</v>
      </c>
      <c r="D52" s="3" t="s">
        <v>69</v>
      </c>
      <c r="E52" s="3" t="s">
        <v>169</v>
      </c>
      <c r="F52" s="7">
        <v>4704.1400000000003</v>
      </c>
      <c r="G52" s="3" t="s">
        <v>188</v>
      </c>
      <c r="H52" s="3" t="s">
        <v>204</v>
      </c>
      <c r="I52" s="3" t="s">
        <v>207</v>
      </c>
      <c r="J52" s="3" t="s">
        <v>224</v>
      </c>
      <c r="K52" s="3" t="s">
        <v>235</v>
      </c>
      <c r="L52" s="3" t="s">
        <v>237</v>
      </c>
      <c r="M52" s="3" t="str">
        <f t="shared" si="0"/>
        <v>September</v>
      </c>
      <c r="N52" s="3">
        <f t="shared" si="1"/>
        <v>2025</v>
      </c>
      <c r="O52" s="3" t="str">
        <f t="shared" si="2"/>
        <v>high</v>
      </c>
    </row>
    <row r="53" spans="1:15" x14ac:dyDescent="0.25">
      <c r="A53" s="3">
        <v>52</v>
      </c>
      <c r="B53" s="5">
        <v>45992</v>
      </c>
      <c r="C53" s="3" t="s">
        <v>18</v>
      </c>
      <c r="D53" s="3" t="s">
        <v>70</v>
      </c>
      <c r="E53" s="3" t="s">
        <v>171</v>
      </c>
      <c r="F53" s="7">
        <v>2898.6</v>
      </c>
      <c r="G53" s="3" t="s">
        <v>195</v>
      </c>
      <c r="H53" s="3" t="s">
        <v>205</v>
      </c>
      <c r="I53" s="3" t="s">
        <v>207</v>
      </c>
      <c r="J53" s="3" t="s">
        <v>221</v>
      </c>
      <c r="K53" s="3" t="s">
        <v>235</v>
      </c>
      <c r="L53" s="3" t="s">
        <v>237</v>
      </c>
      <c r="M53" s="3" t="str">
        <f t="shared" si="0"/>
        <v>December</v>
      </c>
      <c r="N53" s="3">
        <f t="shared" si="1"/>
        <v>2025</v>
      </c>
      <c r="O53" s="3" t="str">
        <f t="shared" si="2"/>
        <v>normal</v>
      </c>
    </row>
    <row r="54" spans="1:15" x14ac:dyDescent="0.25">
      <c r="A54" s="3">
        <v>53</v>
      </c>
      <c r="B54" s="5">
        <v>45946</v>
      </c>
      <c r="C54" s="3" t="s">
        <v>17</v>
      </c>
      <c r="D54" s="3" t="s">
        <v>71</v>
      </c>
      <c r="E54" s="3" t="s">
        <v>169</v>
      </c>
      <c r="F54" s="7">
        <v>1971.44</v>
      </c>
      <c r="G54" s="3" t="s">
        <v>180</v>
      </c>
      <c r="H54" s="3" t="s">
        <v>201</v>
      </c>
      <c r="I54" s="3" t="s">
        <v>207</v>
      </c>
      <c r="J54" s="3" t="s">
        <v>218</v>
      </c>
      <c r="K54" s="3" t="s">
        <v>235</v>
      </c>
      <c r="L54" s="3" t="s">
        <v>237</v>
      </c>
      <c r="M54" s="3" t="str">
        <f t="shared" si="0"/>
        <v>October</v>
      </c>
      <c r="N54" s="3">
        <f t="shared" si="1"/>
        <v>2025</v>
      </c>
      <c r="O54" s="3" t="str">
        <f t="shared" si="2"/>
        <v>normal</v>
      </c>
    </row>
    <row r="55" spans="1:15" x14ac:dyDescent="0.25">
      <c r="A55" s="3">
        <v>54</v>
      </c>
      <c r="B55" s="5">
        <v>45954</v>
      </c>
      <c r="C55" s="3" t="s">
        <v>16</v>
      </c>
      <c r="D55" s="3" t="s">
        <v>72</v>
      </c>
      <c r="E55" s="3" t="s">
        <v>171</v>
      </c>
      <c r="F55" s="7">
        <v>3234.28</v>
      </c>
      <c r="G55" s="3" t="s">
        <v>179</v>
      </c>
      <c r="H55" s="3" t="s">
        <v>200</v>
      </c>
      <c r="I55" s="3" t="s">
        <v>207</v>
      </c>
      <c r="J55" s="3" t="s">
        <v>230</v>
      </c>
      <c r="K55" s="3" t="s">
        <v>235</v>
      </c>
      <c r="L55" s="3" t="s">
        <v>237</v>
      </c>
      <c r="M55" s="3" t="str">
        <f t="shared" si="0"/>
        <v>October</v>
      </c>
      <c r="N55" s="3">
        <f t="shared" si="1"/>
        <v>2025</v>
      </c>
      <c r="O55" s="3" t="str">
        <f t="shared" si="2"/>
        <v>high</v>
      </c>
    </row>
    <row r="56" spans="1:15" x14ac:dyDescent="0.25">
      <c r="A56" s="3">
        <v>55</v>
      </c>
      <c r="B56" s="5">
        <v>45973</v>
      </c>
      <c r="C56" s="3" t="s">
        <v>14</v>
      </c>
      <c r="D56" s="3" t="s">
        <v>73</v>
      </c>
      <c r="E56" s="3" t="s">
        <v>169</v>
      </c>
      <c r="F56" s="7">
        <v>2318.35</v>
      </c>
      <c r="G56" s="3" t="s">
        <v>189</v>
      </c>
      <c r="H56" s="3" t="s">
        <v>202</v>
      </c>
      <c r="I56" s="3" t="s">
        <v>206</v>
      </c>
      <c r="J56" s="3" t="s">
        <v>210</v>
      </c>
      <c r="K56" s="3" t="s">
        <v>235</v>
      </c>
      <c r="L56" s="3" t="s">
        <v>237</v>
      </c>
      <c r="M56" s="3" t="str">
        <f t="shared" si="0"/>
        <v>November</v>
      </c>
      <c r="N56" s="3">
        <f t="shared" si="1"/>
        <v>2025</v>
      </c>
      <c r="O56" s="3" t="str">
        <f t="shared" si="2"/>
        <v>normal</v>
      </c>
    </row>
    <row r="57" spans="1:15" x14ac:dyDescent="0.25">
      <c r="A57" s="3">
        <v>56</v>
      </c>
      <c r="B57" s="5">
        <v>46034</v>
      </c>
      <c r="C57" s="3" t="s">
        <v>12</v>
      </c>
      <c r="D57" s="3" t="s">
        <v>74</v>
      </c>
      <c r="E57" s="3" t="s">
        <v>170</v>
      </c>
      <c r="F57" s="7">
        <v>2750.8</v>
      </c>
      <c r="G57" s="3" t="s">
        <v>175</v>
      </c>
      <c r="H57" s="3" t="s">
        <v>202</v>
      </c>
      <c r="I57" s="3" t="s">
        <v>207</v>
      </c>
      <c r="J57" s="3" t="s">
        <v>229</v>
      </c>
      <c r="K57" s="3" t="s">
        <v>235</v>
      </c>
      <c r="L57" s="3" t="s">
        <v>237</v>
      </c>
      <c r="M57" s="3" t="str">
        <f t="shared" si="0"/>
        <v>January</v>
      </c>
      <c r="N57" s="3">
        <f t="shared" si="1"/>
        <v>2026</v>
      </c>
      <c r="O57" s="3" t="str">
        <f t="shared" si="2"/>
        <v>normal</v>
      </c>
    </row>
    <row r="58" spans="1:15" x14ac:dyDescent="0.25">
      <c r="A58" s="3">
        <v>57</v>
      </c>
      <c r="B58" s="5">
        <v>45870</v>
      </c>
      <c r="C58" s="3" t="s">
        <v>14</v>
      </c>
      <c r="D58" s="3" t="s">
        <v>75</v>
      </c>
      <c r="E58" s="3" t="s">
        <v>171</v>
      </c>
      <c r="F58" s="7">
        <v>4710.25</v>
      </c>
      <c r="G58" s="3" t="s">
        <v>183</v>
      </c>
      <c r="H58" s="3" t="s">
        <v>203</v>
      </c>
      <c r="I58" s="3" t="s">
        <v>207</v>
      </c>
      <c r="J58" s="3" t="s">
        <v>220</v>
      </c>
      <c r="K58" s="3" t="s">
        <v>235</v>
      </c>
      <c r="L58" s="3" t="s">
        <v>237</v>
      </c>
      <c r="M58" s="3" t="str">
        <f t="shared" si="0"/>
        <v>August</v>
      </c>
      <c r="N58" s="3">
        <f t="shared" si="1"/>
        <v>2025</v>
      </c>
      <c r="O58" s="3" t="str">
        <f t="shared" si="2"/>
        <v>high</v>
      </c>
    </row>
    <row r="59" spans="1:15" x14ac:dyDescent="0.25">
      <c r="A59" s="3">
        <v>58</v>
      </c>
      <c r="B59" s="5">
        <v>46037</v>
      </c>
      <c r="C59" s="3" t="s">
        <v>14</v>
      </c>
      <c r="D59" s="3" t="s">
        <v>76</v>
      </c>
      <c r="E59" s="3" t="s">
        <v>171</v>
      </c>
      <c r="F59" s="7">
        <v>1961.21</v>
      </c>
      <c r="G59" s="3" t="s">
        <v>174</v>
      </c>
      <c r="H59" s="3" t="s">
        <v>205</v>
      </c>
      <c r="I59" s="3" t="s">
        <v>207</v>
      </c>
      <c r="J59" s="3" t="s">
        <v>210</v>
      </c>
      <c r="K59" s="3" t="s">
        <v>235</v>
      </c>
      <c r="L59" s="3" t="s">
        <v>237</v>
      </c>
      <c r="M59" s="3" t="str">
        <f t="shared" si="0"/>
        <v>January</v>
      </c>
      <c r="N59" s="3">
        <f t="shared" si="1"/>
        <v>2026</v>
      </c>
      <c r="O59" s="3" t="str">
        <f t="shared" si="2"/>
        <v>normal</v>
      </c>
    </row>
    <row r="60" spans="1:15" x14ac:dyDescent="0.25">
      <c r="A60" s="3">
        <v>59</v>
      </c>
      <c r="B60" s="5">
        <v>45897</v>
      </c>
      <c r="C60" s="3" t="s">
        <v>16</v>
      </c>
      <c r="D60" s="3" t="s">
        <v>77</v>
      </c>
      <c r="E60" s="3" t="s">
        <v>171</v>
      </c>
      <c r="F60" s="7">
        <v>4807.8900000000003</v>
      </c>
      <c r="G60" s="3" t="s">
        <v>196</v>
      </c>
      <c r="H60" s="3" t="s">
        <v>200</v>
      </c>
      <c r="I60" s="3" t="s">
        <v>206</v>
      </c>
      <c r="J60" s="3" t="s">
        <v>230</v>
      </c>
      <c r="K60" s="3" t="s">
        <v>235</v>
      </c>
      <c r="L60" s="3" t="s">
        <v>237</v>
      </c>
      <c r="M60" s="3" t="str">
        <f t="shared" si="0"/>
        <v>August</v>
      </c>
      <c r="N60" s="3">
        <f t="shared" si="1"/>
        <v>2025</v>
      </c>
      <c r="O60" s="3" t="str">
        <f t="shared" si="2"/>
        <v>high</v>
      </c>
    </row>
    <row r="61" spans="1:15" x14ac:dyDescent="0.25">
      <c r="A61" s="3">
        <v>60</v>
      </c>
      <c r="B61" s="5">
        <v>45943</v>
      </c>
      <c r="C61" s="3" t="s">
        <v>14</v>
      </c>
      <c r="D61" s="3" t="s">
        <v>78</v>
      </c>
      <c r="E61" s="3" t="s">
        <v>171</v>
      </c>
      <c r="F61" s="7">
        <v>4531.49</v>
      </c>
      <c r="G61" s="3" t="s">
        <v>174</v>
      </c>
      <c r="H61" s="3" t="s">
        <v>205</v>
      </c>
      <c r="I61" s="3" t="s">
        <v>207</v>
      </c>
      <c r="J61" s="3" t="s">
        <v>225</v>
      </c>
      <c r="K61" s="3" t="s">
        <v>235</v>
      </c>
      <c r="L61" s="3" t="s">
        <v>237</v>
      </c>
      <c r="M61" s="3" t="str">
        <f t="shared" si="0"/>
        <v>October</v>
      </c>
      <c r="N61" s="3">
        <f t="shared" si="1"/>
        <v>2025</v>
      </c>
      <c r="O61" s="3" t="str">
        <f t="shared" si="2"/>
        <v>high</v>
      </c>
    </row>
    <row r="62" spans="1:15" x14ac:dyDescent="0.25">
      <c r="A62" s="3">
        <v>61</v>
      </c>
      <c r="B62" s="5">
        <v>46026</v>
      </c>
      <c r="C62" s="3" t="s">
        <v>17</v>
      </c>
      <c r="D62" s="3" t="s">
        <v>79</v>
      </c>
      <c r="E62" s="3" t="s">
        <v>169</v>
      </c>
      <c r="F62" s="7">
        <v>1019.17</v>
      </c>
      <c r="G62" s="3" t="s">
        <v>193</v>
      </c>
      <c r="H62" s="3" t="s">
        <v>200</v>
      </c>
      <c r="I62" s="3" t="s">
        <v>207</v>
      </c>
      <c r="J62" s="3" t="s">
        <v>218</v>
      </c>
      <c r="K62" s="3" t="s">
        <v>235</v>
      </c>
      <c r="L62" s="3" t="s">
        <v>237</v>
      </c>
      <c r="M62" s="3" t="str">
        <f t="shared" si="0"/>
        <v>January</v>
      </c>
      <c r="N62" s="3">
        <f t="shared" si="1"/>
        <v>2026</v>
      </c>
      <c r="O62" s="3" t="str">
        <f t="shared" si="2"/>
        <v>normal</v>
      </c>
    </row>
    <row r="63" spans="1:15" x14ac:dyDescent="0.25">
      <c r="A63" s="3">
        <v>62</v>
      </c>
      <c r="B63" s="5">
        <v>45912</v>
      </c>
      <c r="C63" s="3" t="s">
        <v>17</v>
      </c>
      <c r="D63" s="3" t="s">
        <v>80</v>
      </c>
      <c r="E63" s="3" t="s">
        <v>171</v>
      </c>
      <c r="F63" s="7">
        <v>393.34</v>
      </c>
      <c r="G63" s="3" t="s">
        <v>197</v>
      </c>
      <c r="H63" s="3" t="s">
        <v>203</v>
      </c>
      <c r="I63" s="3" t="s">
        <v>206</v>
      </c>
      <c r="J63" s="3" t="s">
        <v>232</v>
      </c>
      <c r="K63" s="3" t="s">
        <v>235</v>
      </c>
      <c r="L63" s="3" t="s">
        <v>237</v>
      </c>
      <c r="M63" s="3" t="str">
        <f t="shared" si="0"/>
        <v>September</v>
      </c>
      <c r="N63" s="3">
        <f t="shared" si="1"/>
        <v>2025</v>
      </c>
      <c r="O63" s="3" t="str">
        <f t="shared" si="2"/>
        <v>normal</v>
      </c>
    </row>
    <row r="64" spans="1:15" x14ac:dyDescent="0.25">
      <c r="A64" s="3">
        <v>63</v>
      </c>
      <c r="B64" s="5">
        <v>45966</v>
      </c>
      <c r="C64" s="3" t="s">
        <v>15</v>
      </c>
      <c r="D64" s="3" t="s">
        <v>81</v>
      </c>
      <c r="E64" s="3" t="s">
        <v>170</v>
      </c>
      <c r="F64" s="7">
        <v>548.85</v>
      </c>
      <c r="G64" s="3" t="s">
        <v>185</v>
      </c>
      <c r="H64" s="3" t="s">
        <v>203</v>
      </c>
      <c r="I64" s="3" t="s">
        <v>207</v>
      </c>
      <c r="J64" s="3" t="s">
        <v>213</v>
      </c>
      <c r="K64" s="3" t="s">
        <v>235</v>
      </c>
      <c r="L64" s="3" t="s">
        <v>237</v>
      </c>
      <c r="M64" s="3" t="str">
        <f t="shared" si="0"/>
        <v>November</v>
      </c>
      <c r="N64" s="3">
        <f t="shared" si="1"/>
        <v>2025</v>
      </c>
      <c r="O64" s="3" t="str">
        <f t="shared" si="2"/>
        <v>normal</v>
      </c>
    </row>
    <row r="65" spans="1:15" x14ac:dyDescent="0.25">
      <c r="A65" s="3">
        <v>64</v>
      </c>
      <c r="B65" s="5">
        <v>45994</v>
      </c>
      <c r="C65" s="3" t="s">
        <v>13</v>
      </c>
      <c r="D65" s="3" t="s">
        <v>82</v>
      </c>
      <c r="E65" s="3" t="s">
        <v>170</v>
      </c>
      <c r="F65" s="7">
        <v>140.19999999999999</v>
      </c>
      <c r="G65" s="3" t="s">
        <v>173</v>
      </c>
      <c r="H65" s="3" t="s">
        <v>202</v>
      </c>
      <c r="I65" s="3" t="s">
        <v>206</v>
      </c>
      <c r="J65" s="3" t="s">
        <v>215</v>
      </c>
      <c r="K65" s="3" t="s">
        <v>235</v>
      </c>
      <c r="L65" s="3" t="s">
        <v>237</v>
      </c>
      <c r="M65" s="3" t="str">
        <f t="shared" si="0"/>
        <v>December</v>
      </c>
      <c r="N65" s="3">
        <f t="shared" si="1"/>
        <v>2025</v>
      </c>
      <c r="O65" s="3" t="str">
        <f t="shared" si="2"/>
        <v>normal</v>
      </c>
    </row>
    <row r="66" spans="1:15" x14ac:dyDescent="0.25">
      <c r="A66" s="3">
        <v>65</v>
      </c>
      <c r="B66" s="5">
        <v>45864</v>
      </c>
      <c r="C66" s="3" t="s">
        <v>18</v>
      </c>
      <c r="D66" s="3" t="s">
        <v>83</v>
      </c>
      <c r="E66" s="3" t="s">
        <v>171</v>
      </c>
      <c r="F66" s="7">
        <v>517.49</v>
      </c>
      <c r="G66" s="3" t="s">
        <v>198</v>
      </c>
      <c r="H66" s="3" t="s">
        <v>205</v>
      </c>
      <c r="I66" s="3" t="s">
        <v>206</v>
      </c>
      <c r="J66" s="3" t="s">
        <v>227</v>
      </c>
      <c r="K66" s="3" t="s">
        <v>236</v>
      </c>
      <c r="L66" s="3" t="s">
        <v>237</v>
      </c>
      <c r="M66" s="3" t="str">
        <f t="shared" si="0"/>
        <v>July</v>
      </c>
      <c r="N66" s="3">
        <f t="shared" si="1"/>
        <v>2025</v>
      </c>
      <c r="O66" s="3" t="str">
        <f t="shared" si="2"/>
        <v>normal</v>
      </c>
    </row>
    <row r="67" spans="1:15" x14ac:dyDescent="0.25">
      <c r="A67" s="3">
        <v>66</v>
      </c>
      <c r="B67" s="5">
        <v>45996</v>
      </c>
      <c r="C67" s="3" t="s">
        <v>12</v>
      </c>
      <c r="D67" s="3" t="s">
        <v>84</v>
      </c>
      <c r="E67" s="3" t="s">
        <v>170</v>
      </c>
      <c r="F67" s="7">
        <v>3430.88</v>
      </c>
      <c r="G67" s="3" t="s">
        <v>175</v>
      </c>
      <c r="H67" s="3" t="s">
        <v>204</v>
      </c>
      <c r="I67" s="3" t="s">
        <v>207</v>
      </c>
      <c r="J67" s="3" t="s">
        <v>229</v>
      </c>
      <c r="K67" s="3" t="s">
        <v>235</v>
      </c>
      <c r="L67" s="3" t="s">
        <v>237</v>
      </c>
      <c r="M67" s="3" t="str">
        <f t="shared" ref="M67:M130" si="3">TEXT(B67,"mmmm")</f>
        <v>December</v>
      </c>
      <c r="N67" s="3">
        <f t="shared" ref="N67:N130" si="4">YEAR(B67)</f>
        <v>2025</v>
      </c>
      <c r="O67" s="3" t="str">
        <f t="shared" ref="O67:O130" si="5">IF(F67&gt;3000,"high","normal")</f>
        <v>high</v>
      </c>
    </row>
    <row r="68" spans="1:15" x14ac:dyDescent="0.25">
      <c r="A68" s="3">
        <v>67</v>
      </c>
      <c r="B68" s="5">
        <v>45916</v>
      </c>
      <c r="C68" s="3" t="s">
        <v>14</v>
      </c>
      <c r="D68" s="3" t="s">
        <v>85</v>
      </c>
      <c r="E68" s="3" t="s">
        <v>171</v>
      </c>
      <c r="F68" s="7">
        <v>402.38</v>
      </c>
      <c r="G68" s="3" t="s">
        <v>183</v>
      </c>
      <c r="H68" s="3" t="s">
        <v>202</v>
      </c>
      <c r="I68" s="3" t="s">
        <v>207</v>
      </c>
      <c r="J68" s="3" t="s">
        <v>222</v>
      </c>
      <c r="K68" s="3" t="s">
        <v>235</v>
      </c>
      <c r="L68" s="3" t="s">
        <v>237</v>
      </c>
      <c r="M68" s="3" t="str">
        <f t="shared" si="3"/>
        <v>September</v>
      </c>
      <c r="N68" s="3">
        <f t="shared" si="4"/>
        <v>2025</v>
      </c>
      <c r="O68" s="3" t="str">
        <f t="shared" si="5"/>
        <v>normal</v>
      </c>
    </row>
    <row r="69" spans="1:15" x14ac:dyDescent="0.25">
      <c r="A69" s="3">
        <v>68</v>
      </c>
      <c r="B69" s="5">
        <v>45968</v>
      </c>
      <c r="C69" s="3" t="s">
        <v>14</v>
      </c>
      <c r="D69" s="3" t="s">
        <v>86</v>
      </c>
      <c r="E69" s="3" t="s">
        <v>171</v>
      </c>
      <c r="F69" s="7">
        <v>1628.93</v>
      </c>
      <c r="G69" s="3" t="s">
        <v>174</v>
      </c>
      <c r="H69" s="3" t="s">
        <v>205</v>
      </c>
      <c r="I69" s="3" t="s">
        <v>207</v>
      </c>
      <c r="J69" s="3" t="s">
        <v>225</v>
      </c>
      <c r="K69" s="3" t="s">
        <v>235</v>
      </c>
      <c r="L69" s="3" t="s">
        <v>237</v>
      </c>
      <c r="M69" s="3" t="str">
        <f t="shared" si="3"/>
        <v>November</v>
      </c>
      <c r="N69" s="3">
        <f t="shared" si="4"/>
        <v>2025</v>
      </c>
      <c r="O69" s="3" t="str">
        <f t="shared" si="5"/>
        <v>normal</v>
      </c>
    </row>
    <row r="70" spans="1:15" x14ac:dyDescent="0.25">
      <c r="A70" s="3">
        <v>69</v>
      </c>
      <c r="B70" s="5">
        <v>45866</v>
      </c>
      <c r="C70" s="3" t="s">
        <v>16</v>
      </c>
      <c r="D70" s="3" t="s">
        <v>87</v>
      </c>
      <c r="E70" s="3" t="s">
        <v>170</v>
      </c>
      <c r="F70" s="7">
        <v>4232.13</v>
      </c>
      <c r="G70" s="3" t="s">
        <v>184</v>
      </c>
      <c r="H70" s="3" t="s">
        <v>202</v>
      </c>
      <c r="I70" s="3" t="s">
        <v>207</v>
      </c>
      <c r="J70" s="3" t="s">
        <v>223</v>
      </c>
      <c r="K70" s="3" t="s">
        <v>235</v>
      </c>
      <c r="L70" s="3" t="s">
        <v>237</v>
      </c>
      <c r="M70" s="3" t="str">
        <f t="shared" si="3"/>
        <v>July</v>
      </c>
      <c r="N70" s="3">
        <f t="shared" si="4"/>
        <v>2025</v>
      </c>
      <c r="O70" s="3" t="str">
        <f t="shared" si="5"/>
        <v>high</v>
      </c>
    </row>
    <row r="71" spans="1:15" x14ac:dyDescent="0.25">
      <c r="A71" s="3">
        <v>70</v>
      </c>
      <c r="B71" s="5">
        <v>45916</v>
      </c>
      <c r="C71" s="3" t="s">
        <v>13</v>
      </c>
      <c r="D71" s="3" t="s">
        <v>88</v>
      </c>
      <c r="E71" s="3" t="s">
        <v>171</v>
      </c>
      <c r="F71" s="7">
        <v>165.2</v>
      </c>
      <c r="G71" s="3" t="s">
        <v>173</v>
      </c>
      <c r="H71" s="3" t="s">
        <v>204</v>
      </c>
      <c r="I71" s="3" t="s">
        <v>207</v>
      </c>
      <c r="J71" s="3" t="s">
        <v>216</v>
      </c>
      <c r="K71" s="3" t="s">
        <v>236</v>
      </c>
      <c r="L71" s="3" t="s">
        <v>237</v>
      </c>
      <c r="M71" s="3" t="str">
        <f t="shared" si="3"/>
        <v>September</v>
      </c>
      <c r="N71" s="3">
        <f t="shared" si="4"/>
        <v>2025</v>
      </c>
      <c r="O71" s="3" t="str">
        <f t="shared" si="5"/>
        <v>normal</v>
      </c>
    </row>
    <row r="72" spans="1:15" x14ac:dyDescent="0.25">
      <c r="A72" s="3">
        <v>71</v>
      </c>
      <c r="B72" s="5">
        <v>46008</v>
      </c>
      <c r="C72" s="3" t="s">
        <v>17</v>
      </c>
      <c r="D72" s="3" t="s">
        <v>89</v>
      </c>
      <c r="E72" s="3" t="s">
        <v>170</v>
      </c>
      <c r="F72" s="7">
        <v>4081.62</v>
      </c>
      <c r="G72" s="3" t="s">
        <v>193</v>
      </c>
      <c r="H72" s="3" t="s">
        <v>201</v>
      </c>
      <c r="I72" s="3" t="s">
        <v>207</v>
      </c>
      <c r="J72" s="3" t="s">
        <v>231</v>
      </c>
      <c r="K72" s="3" t="s">
        <v>235</v>
      </c>
      <c r="L72" s="3" t="s">
        <v>237</v>
      </c>
      <c r="M72" s="3" t="str">
        <f t="shared" si="3"/>
        <v>December</v>
      </c>
      <c r="N72" s="3">
        <f t="shared" si="4"/>
        <v>2025</v>
      </c>
      <c r="O72" s="3" t="str">
        <f t="shared" si="5"/>
        <v>high</v>
      </c>
    </row>
    <row r="73" spans="1:15" x14ac:dyDescent="0.25">
      <c r="A73" s="3">
        <v>72</v>
      </c>
      <c r="B73" s="5">
        <v>45906</v>
      </c>
      <c r="C73" s="3" t="s">
        <v>12</v>
      </c>
      <c r="D73" s="3" t="s">
        <v>90</v>
      </c>
      <c r="E73" s="3" t="s">
        <v>169</v>
      </c>
      <c r="F73" s="7">
        <v>1445.18</v>
      </c>
      <c r="G73" s="3" t="s">
        <v>186</v>
      </c>
      <c r="H73" s="3" t="s">
        <v>201</v>
      </c>
      <c r="I73" s="3" t="s">
        <v>207</v>
      </c>
      <c r="J73" s="3" t="s">
        <v>233</v>
      </c>
      <c r="K73" s="3" t="s">
        <v>235</v>
      </c>
      <c r="L73" s="3" t="s">
        <v>237</v>
      </c>
      <c r="M73" s="3" t="str">
        <f t="shared" si="3"/>
        <v>September</v>
      </c>
      <c r="N73" s="3">
        <f t="shared" si="4"/>
        <v>2025</v>
      </c>
      <c r="O73" s="3" t="str">
        <f t="shared" si="5"/>
        <v>normal</v>
      </c>
    </row>
    <row r="74" spans="1:15" x14ac:dyDescent="0.25">
      <c r="A74" s="3">
        <v>73</v>
      </c>
      <c r="B74" s="5">
        <v>46024</v>
      </c>
      <c r="C74" s="3" t="s">
        <v>15</v>
      </c>
      <c r="D74" s="3" t="s">
        <v>91</v>
      </c>
      <c r="E74" s="3" t="s">
        <v>171</v>
      </c>
      <c r="F74" s="7">
        <v>634.91999999999996</v>
      </c>
      <c r="G74" s="3" t="s">
        <v>185</v>
      </c>
      <c r="H74" s="3" t="s">
        <v>201</v>
      </c>
      <c r="I74" s="3" t="s">
        <v>207</v>
      </c>
      <c r="J74" s="3" t="s">
        <v>211</v>
      </c>
      <c r="K74" s="3" t="s">
        <v>235</v>
      </c>
      <c r="L74" s="3" t="s">
        <v>237</v>
      </c>
      <c r="M74" s="3" t="str">
        <f t="shared" si="3"/>
        <v>January</v>
      </c>
      <c r="N74" s="3">
        <f t="shared" si="4"/>
        <v>2026</v>
      </c>
      <c r="O74" s="3" t="str">
        <f t="shared" si="5"/>
        <v>normal</v>
      </c>
    </row>
    <row r="75" spans="1:15" x14ac:dyDescent="0.25">
      <c r="A75" s="3">
        <v>74</v>
      </c>
      <c r="B75" s="5">
        <v>45876</v>
      </c>
      <c r="C75" s="3" t="s">
        <v>17</v>
      </c>
      <c r="D75" s="3" t="s">
        <v>92</v>
      </c>
      <c r="E75" s="3" t="s">
        <v>169</v>
      </c>
      <c r="F75" s="7">
        <v>3498.85</v>
      </c>
      <c r="G75" s="3" t="s">
        <v>180</v>
      </c>
      <c r="H75" s="3" t="s">
        <v>201</v>
      </c>
      <c r="I75" s="3" t="s">
        <v>207</v>
      </c>
      <c r="J75" s="3" t="s">
        <v>232</v>
      </c>
      <c r="K75" s="3" t="s">
        <v>235</v>
      </c>
      <c r="L75" s="3" t="s">
        <v>237</v>
      </c>
      <c r="M75" s="3" t="str">
        <f t="shared" si="3"/>
        <v>August</v>
      </c>
      <c r="N75" s="3">
        <f t="shared" si="4"/>
        <v>2025</v>
      </c>
      <c r="O75" s="3" t="str">
        <f t="shared" si="5"/>
        <v>high</v>
      </c>
    </row>
    <row r="76" spans="1:15" x14ac:dyDescent="0.25">
      <c r="A76" s="3">
        <v>75</v>
      </c>
      <c r="B76" s="5">
        <v>45957</v>
      </c>
      <c r="C76" s="3" t="s">
        <v>13</v>
      </c>
      <c r="D76" s="3" t="s">
        <v>93</v>
      </c>
      <c r="E76" s="3" t="s">
        <v>170</v>
      </c>
      <c r="F76" s="7">
        <v>3163.27</v>
      </c>
      <c r="G76" s="3" t="s">
        <v>188</v>
      </c>
      <c r="H76" s="3" t="s">
        <v>200</v>
      </c>
      <c r="I76" s="3" t="s">
        <v>207</v>
      </c>
      <c r="J76" s="3" t="s">
        <v>224</v>
      </c>
      <c r="K76" s="3" t="s">
        <v>235</v>
      </c>
      <c r="L76" s="3" t="s">
        <v>237</v>
      </c>
      <c r="M76" s="3" t="str">
        <f t="shared" si="3"/>
        <v>October</v>
      </c>
      <c r="N76" s="3">
        <f t="shared" si="4"/>
        <v>2025</v>
      </c>
      <c r="O76" s="3" t="str">
        <f t="shared" si="5"/>
        <v>high</v>
      </c>
    </row>
    <row r="77" spans="1:15" x14ac:dyDescent="0.25">
      <c r="A77" s="3">
        <v>76</v>
      </c>
      <c r="B77" s="5">
        <v>45910</v>
      </c>
      <c r="C77" s="3" t="s">
        <v>18</v>
      </c>
      <c r="D77" s="3" t="s">
        <v>94</v>
      </c>
      <c r="E77" s="3" t="s">
        <v>169</v>
      </c>
      <c r="F77" s="7">
        <v>4393.49</v>
      </c>
      <c r="G77" s="3" t="s">
        <v>195</v>
      </c>
      <c r="H77" s="3" t="s">
        <v>201</v>
      </c>
      <c r="I77" s="3" t="s">
        <v>207</v>
      </c>
      <c r="J77" s="3" t="s">
        <v>219</v>
      </c>
      <c r="K77" s="3" t="s">
        <v>235</v>
      </c>
      <c r="L77" s="3" t="s">
        <v>237</v>
      </c>
      <c r="M77" s="3" t="str">
        <f t="shared" si="3"/>
        <v>September</v>
      </c>
      <c r="N77" s="3">
        <f t="shared" si="4"/>
        <v>2025</v>
      </c>
      <c r="O77" s="3" t="str">
        <f t="shared" si="5"/>
        <v>high</v>
      </c>
    </row>
    <row r="78" spans="1:15" x14ac:dyDescent="0.25">
      <c r="A78" s="3">
        <v>77</v>
      </c>
      <c r="B78" s="5">
        <v>45877</v>
      </c>
      <c r="C78" s="3" t="s">
        <v>15</v>
      </c>
      <c r="D78" s="3" t="s">
        <v>95</v>
      </c>
      <c r="E78" s="3" t="s">
        <v>169</v>
      </c>
      <c r="F78" s="7">
        <v>3688.6</v>
      </c>
      <c r="G78" s="3" t="s">
        <v>178</v>
      </c>
      <c r="H78" s="3" t="s">
        <v>204</v>
      </c>
      <c r="I78" s="3" t="s">
        <v>207</v>
      </c>
      <c r="J78" s="3" t="s">
        <v>213</v>
      </c>
      <c r="K78" s="3" t="s">
        <v>235</v>
      </c>
      <c r="L78" s="3" t="s">
        <v>237</v>
      </c>
      <c r="M78" s="3" t="str">
        <f t="shared" si="3"/>
        <v>August</v>
      </c>
      <c r="N78" s="3">
        <f t="shared" si="4"/>
        <v>2025</v>
      </c>
      <c r="O78" s="3" t="str">
        <f t="shared" si="5"/>
        <v>high</v>
      </c>
    </row>
    <row r="79" spans="1:15" x14ac:dyDescent="0.25">
      <c r="A79" s="3">
        <v>78</v>
      </c>
      <c r="B79" s="5">
        <v>45902</v>
      </c>
      <c r="C79" s="3" t="s">
        <v>18</v>
      </c>
      <c r="D79" s="3" t="s">
        <v>96</v>
      </c>
      <c r="E79" s="3" t="s">
        <v>170</v>
      </c>
      <c r="F79" s="7">
        <v>4027.23</v>
      </c>
      <c r="G79" s="3" t="s">
        <v>191</v>
      </c>
      <c r="H79" s="3" t="s">
        <v>203</v>
      </c>
      <c r="I79" s="3" t="s">
        <v>207</v>
      </c>
      <c r="J79" s="3" t="s">
        <v>221</v>
      </c>
      <c r="K79" s="3" t="s">
        <v>235</v>
      </c>
      <c r="L79" s="3" t="s">
        <v>237</v>
      </c>
      <c r="M79" s="3" t="str">
        <f t="shared" si="3"/>
        <v>September</v>
      </c>
      <c r="N79" s="3">
        <f t="shared" si="4"/>
        <v>2025</v>
      </c>
      <c r="O79" s="3" t="str">
        <f t="shared" si="5"/>
        <v>high</v>
      </c>
    </row>
    <row r="80" spans="1:15" x14ac:dyDescent="0.25">
      <c r="A80" s="3">
        <v>79</v>
      </c>
      <c r="B80" s="5">
        <v>45944</v>
      </c>
      <c r="C80" s="3" t="s">
        <v>16</v>
      </c>
      <c r="D80" s="3" t="s">
        <v>97</v>
      </c>
      <c r="E80" s="3" t="s">
        <v>169</v>
      </c>
      <c r="F80" s="7">
        <v>1446.07</v>
      </c>
      <c r="G80" s="3" t="s">
        <v>179</v>
      </c>
      <c r="H80" s="3" t="s">
        <v>203</v>
      </c>
      <c r="I80" s="3" t="s">
        <v>206</v>
      </c>
      <c r="J80" s="3" t="s">
        <v>217</v>
      </c>
      <c r="K80" s="3" t="s">
        <v>235</v>
      </c>
      <c r="L80" s="3" t="s">
        <v>237</v>
      </c>
      <c r="M80" s="3" t="str">
        <f t="shared" si="3"/>
        <v>October</v>
      </c>
      <c r="N80" s="3">
        <f t="shared" si="4"/>
        <v>2025</v>
      </c>
      <c r="O80" s="3" t="str">
        <f t="shared" si="5"/>
        <v>normal</v>
      </c>
    </row>
    <row r="81" spans="1:15" x14ac:dyDescent="0.25">
      <c r="A81" s="3">
        <v>80</v>
      </c>
      <c r="B81" s="5">
        <v>45973</v>
      </c>
      <c r="C81" s="3" t="s">
        <v>16</v>
      </c>
      <c r="D81" s="3" t="s">
        <v>98</v>
      </c>
      <c r="E81" s="3" t="s">
        <v>169</v>
      </c>
      <c r="F81" s="7">
        <v>928.33</v>
      </c>
      <c r="G81" s="3" t="s">
        <v>187</v>
      </c>
      <c r="H81" s="3" t="s">
        <v>200</v>
      </c>
      <c r="I81" s="3" t="s">
        <v>207</v>
      </c>
      <c r="J81" s="3" t="s">
        <v>228</v>
      </c>
      <c r="K81" s="3" t="s">
        <v>236</v>
      </c>
      <c r="L81" s="3" t="s">
        <v>237</v>
      </c>
      <c r="M81" s="3" t="str">
        <f t="shared" si="3"/>
        <v>November</v>
      </c>
      <c r="N81" s="3">
        <f t="shared" si="4"/>
        <v>2025</v>
      </c>
      <c r="O81" s="3" t="str">
        <f t="shared" si="5"/>
        <v>normal</v>
      </c>
    </row>
    <row r="82" spans="1:15" x14ac:dyDescent="0.25">
      <c r="A82" s="3">
        <v>81</v>
      </c>
      <c r="B82" s="5">
        <v>45915</v>
      </c>
      <c r="C82" s="3" t="s">
        <v>14</v>
      </c>
      <c r="D82" s="3" t="s">
        <v>99</v>
      </c>
      <c r="E82" s="3" t="s">
        <v>170</v>
      </c>
      <c r="F82" s="7">
        <v>3765.54</v>
      </c>
      <c r="G82" s="3" t="s">
        <v>174</v>
      </c>
      <c r="H82" s="3" t="s">
        <v>201</v>
      </c>
      <c r="I82" s="3" t="s">
        <v>207</v>
      </c>
      <c r="J82" s="3" t="s">
        <v>222</v>
      </c>
      <c r="K82" s="3" t="s">
        <v>235</v>
      </c>
      <c r="L82" s="3" t="s">
        <v>237</v>
      </c>
      <c r="M82" s="3" t="str">
        <f t="shared" si="3"/>
        <v>September</v>
      </c>
      <c r="N82" s="3">
        <f t="shared" si="4"/>
        <v>2025</v>
      </c>
      <c r="O82" s="3" t="str">
        <f t="shared" si="5"/>
        <v>high</v>
      </c>
    </row>
    <row r="83" spans="1:15" x14ac:dyDescent="0.25">
      <c r="A83" s="3">
        <v>82</v>
      </c>
      <c r="B83" s="5">
        <v>45886</v>
      </c>
      <c r="C83" s="3" t="s">
        <v>18</v>
      </c>
      <c r="D83" s="3" t="s">
        <v>100</v>
      </c>
      <c r="E83" s="3" t="s">
        <v>169</v>
      </c>
      <c r="F83" s="7">
        <v>4043.83</v>
      </c>
      <c r="G83" s="3" t="s">
        <v>191</v>
      </c>
      <c r="H83" s="3" t="s">
        <v>201</v>
      </c>
      <c r="I83" s="3" t="s">
        <v>206</v>
      </c>
      <c r="J83" s="3" t="s">
        <v>234</v>
      </c>
      <c r="K83" s="3" t="s">
        <v>235</v>
      </c>
      <c r="L83" s="3" t="s">
        <v>237</v>
      </c>
      <c r="M83" s="3" t="str">
        <f t="shared" si="3"/>
        <v>August</v>
      </c>
      <c r="N83" s="3">
        <f t="shared" si="4"/>
        <v>2025</v>
      </c>
      <c r="O83" s="3" t="str">
        <f t="shared" si="5"/>
        <v>high</v>
      </c>
    </row>
    <row r="84" spans="1:15" x14ac:dyDescent="0.25">
      <c r="A84" s="3">
        <v>83</v>
      </c>
      <c r="B84" s="5">
        <v>46016</v>
      </c>
      <c r="C84" s="3" t="s">
        <v>13</v>
      </c>
      <c r="D84" s="3" t="s">
        <v>101</v>
      </c>
      <c r="E84" s="3" t="s">
        <v>170</v>
      </c>
      <c r="F84" s="7">
        <v>4953</v>
      </c>
      <c r="G84" s="3" t="s">
        <v>173</v>
      </c>
      <c r="H84" s="3" t="s">
        <v>201</v>
      </c>
      <c r="I84" s="3" t="s">
        <v>206</v>
      </c>
      <c r="J84" s="3" t="s">
        <v>215</v>
      </c>
      <c r="K84" s="3" t="s">
        <v>235</v>
      </c>
      <c r="L84" s="3" t="s">
        <v>237</v>
      </c>
      <c r="M84" s="3" t="str">
        <f t="shared" si="3"/>
        <v>December</v>
      </c>
      <c r="N84" s="3">
        <f t="shared" si="4"/>
        <v>2025</v>
      </c>
      <c r="O84" s="3" t="str">
        <f t="shared" si="5"/>
        <v>high</v>
      </c>
    </row>
    <row r="85" spans="1:15" x14ac:dyDescent="0.25">
      <c r="A85" s="3">
        <v>84</v>
      </c>
      <c r="B85" s="5">
        <v>45986</v>
      </c>
      <c r="C85" s="3" t="s">
        <v>12</v>
      </c>
      <c r="D85" s="3" t="s">
        <v>102</v>
      </c>
      <c r="E85" s="3" t="s">
        <v>169</v>
      </c>
      <c r="F85" s="7">
        <v>2092.46</v>
      </c>
      <c r="G85" s="3" t="s">
        <v>175</v>
      </c>
      <c r="H85" s="3" t="s">
        <v>202</v>
      </c>
      <c r="I85" s="3" t="s">
        <v>207</v>
      </c>
      <c r="J85" s="3" t="s">
        <v>226</v>
      </c>
      <c r="K85" s="3" t="s">
        <v>235</v>
      </c>
      <c r="L85" s="3" t="s">
        <v>237</v>
      </c>
      <c r="M85" s="3" t="str">
        <f t="shared" si="3"/>
        <v>November</v>
      </c>
      <c r="N85" s="3">
        <f t="shared" si="4"/>
        <v>2025</v>
      </c>
      <c r="O85" s="3" t="str">
        <f t="shared" si="5"/>
        <v>normal</v>
      </c>
    </row>
    <row r="86" spans="1:15" x14ac:dyDescent="0.25">
      <c r="A86" s="3">
        <v>85</v>
      </c>
      <c r="B86" s="5">
        <v>45903</v>
      </c>
      <c r="C86" s="3" t="s">
        <v>15</v>
      </c>
      <c r="D86" s="3" t="s">
        <v>103</v>
      </c>
      <c r="E86" s="3" t="s">
        <v>170</v>
      </c>
      <c r="F86" s="7">
        <v>1891.49</v>
      </c>
      <c r="G86" s="3" t="s">
        <v>178</v>
      </c>
      <c r="H86" s="3" t="s">
        <v>205</v>
      </c>
      <c r="I86" s="3" t="s">
        <v>207</v>
      </c>
      <c r="J86" s="3" t="s">
        <v>213</v>
      </c>
      <c r="K86" s="3" t="s">
        <v>235</v>
      </c>
      <c r="L86" s="3" t="s">
        <v>237</v>
      </c>
      <c r="M86" s="3" t="str">
        <f t="shared" si="3"/>
        <v>September</v>
      </c>
      <c r="N86" s="3">
        <f t="shared" si="4"/>
        <v>2025</v>
      </c>
      <c r="O86" s="3" t="str">
        <f t="shared" si="5"/>
        <v>normal</v>
      </c>
    </row>
    <row r="87" spans="1:15" x14ac:dyDescent="0.25">
      <c r="A87" s="3">
        <v>86</v>
      </c>
      <c r="B87" s="5">
        <v>46019</v>
      </c>
      <c r="C87" s="3" t="s">
        <v>17</v>
      </c>
      <c r="D87" s="3" t="s">
        <v>104</v>
      </c>
      <c r="E87" s="3" t="s">
        <v>170</v>
      </c>
      <c r="F87" s="7">
        <v>3893.24</v>
      </c>
      <c r="G87" s="3" t="s">
        <v>193</v>
      </c>
      <c r="H87" s="3" t="s">
        <v>202</v>
      </c>
      <c r="I87" s="3" t="s">
        <v>207</v>
      </c>
      <c r="J87" s="3" t="s">
        <v>231</v>
      </c>
      <c r="K87" s="3" t="s">
        <v>236</v>
      </c>
      <c r="L87" s="3" t="s">
        <v>237</v>
      </c>
      <c r="M87" s="3" t="str">
        <f t="shared" si="3"/>
        <v>December</v>
      </c>
      <c r="N87" s="3">
        <f t="shared" si="4"/>
        <v>2025</v>
      </c>
      <c r="O87" s="3" t="str">
        <f t="shared" si="5"/>
        <v>high</v>
      </c>
    </row>
    <row r="88" spans="1:15" x14ac:dyDescent="0.25">
      <c r="A88" s="3">
        <v>87</v>
      </c>
      <c r="B88" s="5">
        <v>45877</v>
      </c>
      <c r="C88" s="3" t="s">
        <v>13</v>
      </c>
      <c r="D88" s="3" t="s">
        <v>105</v>
      </c>
      <c r="E88" s="3" t="s">
        <v>169</v>
      </c>
      <c r="F88" s="7">
        <v>1736.98</v>
      </c>
      <c r="G88" s="3" t="s">
        <v>188</v>
      </c>
      <c r="H88" s="3" t="s">
        <v>205</v>
      </c>
      <c r="I88" s="3" t="s">
        <v>206</v>
      </c>
      <c r="J88" s="3" t="s">
        <v>224</v>
      </c>
      <c r="K88" s="3" t="s">
        <v>235</v>
      </c>
      <c r="L88" s="3" t="s">
        <v>237</v>
      </c>
      <c r="M88" s="3" t="str">
        <f t="shared" si="3"/>
        <v>August</v>
      </c>
      <c r="N88" s="3">
        <f t="shared" si="4"/>
        <v>2025</v>
      </c>
      <c r="O88" s="3" t="str">
        <f t="shared" si="5"/>
        <v>normal</v>
      </c>
    </row>
    <row r="89" spans="1:15" x14ac:dyDescent="0.25">
      <c r="A89" s="3">
        <v>88</v>
      </c>
      <c r="B89" s="5">
        <v>45907</v>
      </c>
      <c r="C89" s="3" t="s">
        <v>13</v>
      </c>
      <c r="D89" s="3" t="s">
        <v>106</v>
      </c>
      <c r="E89" s="3" t="s">
        <v>169</v>
      </c>
      <c r="F89" s="7">
        <v>4657.25</v>
      </c>
      <c r="G89" s="3" t="s">
        <v>192</v>
      </c>
      <c r="H89" s="3" t="s">
        <v>201</v>
      </c>
      <c r="I89" s="3" t="s">
        <v>207</v>
      </c>
      <c r="J89" s="3" t="s">
        <v>215</v>
      </c>
      <c r="K89" s="3" t="s">
        <v>235</v>
      </c>
      <c r="L89" s="3" t="s">
        <v>237</v>
      </c>
      <c r="M89" s="3" t="str">
        <f t="shared" si="3"/>
        <v>September</v>
      </c>
      <c r="N89" s="3">
        <f t="shared" si="4"/>
        <v>2025</v>
      </c>
      <c r="O89" s="3" t="str">
        <f t="shared" si="5"/>
        <v>high</v>
      </c>
    </row>
    <row r="90" spans="1:15" x14ac:dyDescent="0.25">
      <c r="A90" s="3">
        <v>89</v>
      </c>
      <c r="B90" s="5">
        <v>45927</v>
      </c>
      <c r="C90" s="3" t="s">
        <v>16</v>
      </c>
      <c r="D90" s="3" t="s">
        <v>107</v>
      </c>
      <c r="E90" s="3" t="s">
        <v>169</v>
      </c>
      <c r="F90" s="7">
        <v>4299.1400000000003</v>
      </c>
      <c r="G90" s="3" t="s">
        <v>187</v>
      </c>
      <c r="H90" s="3" t="s">
        <v>201</v>
      </c>
      <c r="I90" s="3" t="s">
        <v>207</v>
      </c>
      <c r="J90" s="3" t="s">
        <v>230</v>
      </c>
      <c r="K90" s="3" t="s">
        <v>235</v>
      </c>
      <c r="L90" s="3" t="s">
        <v>237</v>
      </c>
      <c r="M90" s="3" t="str">
        <f t="shared" si="3"/>
        <v>September</v>
      </c>
      <c r="N90" s="3">
        <f t="shared" si="4"/>
        <v>2025</v>
      </c>
      <c r="O90" s="3" t="str">
        <f t="shared" si="5"/>
        <v>high</v>
      </c>
    </row>
    <row r="91" spans="1:15" x14ac:dyDescent="0.25">
      <c r="A91" s="3">
        <v>90</v>
      </c>
      <c r="B91" s="5">
        <v>45951</v>
      </c>
      <c r="C91" s="3" t="s">
        <v>18</v>
      </c>
      <c r="D91" s="3" t="s">
        <v>108</v>
      </c>
      <c r="E91" s="3" t="s">
        <v>171</v>
      </c>
      <c r="F91" s="7">
        <v>2173.52</v>
      </c>
      <c r="G91" s="3" t="s">
        <v>198</v>
      </c>
      <c r="H91" s="3" t="s">
        <v>202</v>
      </c>
      <c r="I91" s="3" t="s">
        <v>206</v>
      </c>
      <c r="J91" s="3" t="s">
        <v>227</v>
      </c>
      <c r="K91" s="3" t="s">
        <v>235</v>
      </c>
      <c r="L91" s="3" t="s">
        <v>237</v>
      </c>
      <c r="M91" s="3" t="str">
        <f t="shared" si="3"/>
        <v>October</v>
      </c>
      <c r="N91" s="3">
        <f t="shared" si="4"/>
        <v>2025</v>
      </c>
      <c r="O91" s="3" t="str">
        <f t="shared" si="5"/>
        <v>normal</v>
      </c>
    </row>
    <row r="92" spans="1:15" x14ac:dyDescent="0.25">
      <c r="A92" s="3">
        <v>91</v>
      </c>
      <c r="B92" s="5">
        <v>45933</v>
      </c>
      <c r="C92" s="3" t="s">
        <v>14</v>
      </c>
      <c r="D92" s="3" t="s">
        <v>109</v>
      </c>
      <c r="E92" s="3" t="s">
        <v>171</v>
      </c>
      <c r="F92" s="7">
        <v>3766.81</v>
      </c>
      <c r="G92" s="3" t="s">
        <v>183</v>
      </c>
      <c r="H92" s="3" t="s">
        <v>202</v>
      </c>
      <c r="I92" s="3" t="s">
        <v>206</v>
      </c>
      <c r="J92" s="3" t="s">
        <v>210</v>
      </c>
      <c r="K92" s="3" t="s">
        <v>235</v>
      </c>
      <c r="L92" s="3" t="s">
        <v>237</v>
      </c>
      <c r="M92" s="3" t="str">
        <f t="shared" si="3"/>
        <v>October</v>
      </c>
      <c r="N92" s="3">
        <f t="shared" si="4"/>
        <v>2025</v>
      </c>
      <c r="O92" s="3" t="str">
        <f t="shared" si="5"/>
        <v>high</v>
      </c>
    </row>
    <row r="93" spans="1:15" x14ac:dyDescent="0.25">
      <c r="A93" s="3">
        <v>92</v>
      </c>
      <c r="B93" s="5">
        <v>45871</v>
      </c>
      <c r="C93" s="3" t="s">
        <v>14</v>
      </c>
      <c r="D93" s="3" t="s">
        <v>110</v>
      </c>
      <c r="E93" s="3" t="s">
        <v>171</v>
      </c>
      <c r="F93" s="7">
        <v>3784.99</v>
      </c>
      <c r="G93" s="3" t="s">
        <v>189</v>
      </c>
      <c r="H93" s="3" t="s">
        <v>205</v>
      </c>
      <c r="I93" s="3" t="s">
        <v>207</v>
      </c>
      <c r="J93" s="3" t="s">
        <v>222</v>
      </c>
      <c r="K93" s="3" t="s">
        <v>235</v>
      </c>
      <c r="L93" s="3" t="s">
        <v>237</v>
      </c>
      <c r="M93" s="3" t="str">
        <f t="shared" si="3"/>
        <v>August</v>
      </c>
      <c r="N93" s="3">
        <f t="shared" si="4"/>
        <v>2025</v>
      </c>
      <c r="O93" s="3" t="str">
        <f t="shared" si="5"/>
        <v>high</v>
      </c>
    </row>
    <row r="94" spans="1:15" x14ac:dyDescent="0.25">
      <c r="A94" s="3">
        <v>93</v>
      </c>
      <c r="B94" s="5">
        <v>45950</v>
      </c>
      <c r="C94" s="3" t="s">
        <v>15</v>
      </c>
      <c r="D94" s="3" t="s">
        <v>111</v>
      </c>
      <c r="E94" s="3" t="s">
        <v>170</v>
      </c>
      <c r="F94" s="7">
        <v>560.46</v>
      </c>
      <c r="G94" s="3" t="s">
        <v>185</v>
      </c>
      <c r="H94" s="3" t="s">
        <v>203</v>
      </c>
      <c r="I94" s="3" t="s">
        <v>207</v>
      </c>
      <c r="J94" s="3" t="s">
        <v>213</v>
      </c>
      <c r="K94" s="3" t="s">
        <v>235</v>
      </c>
      <c r="L94" s="3" t="s">
        <v>237</v>
      </c>
      <c r="M94" s="3" t="str">
        <f t="shared" si="3"/>
        <v>October</v>
      </c>
      <c r="N94" s="3">
        <f t="shared" si="4"/>
        <v>2025</v>
      </c>
      <c r="O94" s="3" t="str">
        <f t="shared" si="5"/>
        <v>normal</v>
      </c>
    </row>
    <row r="95" spans="1:15" x14ac:dyDescent="0.25">
      <c r="A95" s="3">
        <v>94</v>
      </c>
      <c r="B95" s="5">
        <v>45991</v>
      </c>
      <c r="C95" s="3" t="s">
        <v>16</v>
      </c>
      <c r="D95" s="3" t="s">
        <v>112</v>
      </c>
      <c r="E95" s="3" t="s">
        <v>169</v>
      </c>
      <c r="F95" s="7">
        <v>4517.6400000000003</v>
      </c>
      <c r="G95" s="3" t="s">
        <v>187</v>
      </c>
      <c r="H95" s="3" t="s">
        <v>205</v>
      </c>
      <c r="I95" s="3" t="s">
        <v>207</v>
      </c>
      <c r="J95" s="3" t="s">
        <v>223</v>
      </c>
      <c r="K95" s="3" t="s">
        <v>235</v>
      </c>
      <c r="L95" s="3" t="s">
        <v>237</v>
      </c>
      <c r="M95" s="3" t="str">
        <f t="shared" si="3"/>
        <v>November</v>
      </c>
      <c r="N95" s="3">
        <f t="shared" si="4"/>
        <v>2025</v>
      </c>
      <c r="O95" s="3" t="str">
        <f t="shared" si="5"/>
        <v>high</v>
      </c>
    </row>
    <row r="96" spans="1:15" x14ac:dyDescent="0.25">
      <c r="A96" s="3">
        <v>95</v>
      </c>
      <c r="B96" s="5">
        <v>45998</v>
      </c>
      <c r="C96" s="3" t="s">
        <v>13</v>
      </c>
      <c r="D96" s="3" t="s">
        <v>113</v>
      </c>
      <c r="E96" s="3" t="s">
        <v>170</v>
      </c>
      <c r="F96" s="7">
        <v>2551</v>
      </c>
      <c r="G96" s="3" t="s">
        <v>192</v>
      </c>
      <c r="H96" s="3" t="s">
        <v>202</v>
      </c>
      <c r="I96" s="3" t="s">
        <v>207</v>
      </c>
      <c r="J96" s="3" t="s">
        <v>209</v>
      </c>
      <c r="K96" s="3" t="s">
        <v>235</v>
      </c>
      <c r="L96" s="3" t="s">
        <v>237</v>
      </c>
      <c r="M96" s="3" t="str">
        <f t="shared" si="3"/>
        <v>December</v>
      </c>
      <c r="N96" s="3">
        <f t="shared" si="4"/>
        <v>2025</v>
      </c>
      <c r="O96" s="3" t="str">
        <f t="shared" si="5"/>
        <v>normal</v>
      </c>
    </row>
    <row r="97" spans="1:15" x14ac:dyDescent="0.25">
      <c r="A97" s="3">
        <v>96</v>
      </c>
      <c r="B97" s="5">
        <v>45925</v>
      </c>
      <c r="C97" s="3" t="s">
        <v>12</v>
      </c>
      <c r="D97" s="3" t="s">
        <v>114</v>
      </c>
      <c r="E97" s="3" t="s">
        <v>171</v>
      </c>
      <c r="F97" s="7">
        <v>4140.96</v>
      </c>
      <c r="G97" s="3" t="s">
        <v>186</v>
      </c>
      <c r="H97" s="3" t="s">
        <v>204</v>
      </c>
      <c r="I97" s="3" t="s">
        <v>207</v>
      </c>
      <c r="J97" s="3" t="s">
        <v>208</v>
      </c>
      <c r="K97" s="3" t="s">
        <v>235</v>
      </c>
      <c r="L97" s="3" t="s">
        <v>237</v>
      </c>
      <c r="M97" s="3" t="str">
        <f t="shared" si="3"/>
        <v>September</v>
      </c>
      <c r="N97" s="3">
        <f t="shared" si="4"/>
        <v>2025</v>
      </c>
      <c r="O97" s="3" t="str">
        <f t="shared" si="5"/>
        <v>high</v>
      </c>
    </row>
    <row r="98" spans="1:15" x14ac:dyDescent="0.25">
      <c r="A98" s="3">
        <v>97</v>
      </c>
      <c r="B98" s="5">
        <v>46001</v>
      </c>
      <c r="C98" s="3" t="s">
        <v>16</v>
      </c>
      <c r="D98" s="3" t="s">
        <v>115</v>
      </c>
      <c r="E98" s="3" t="s">
        <v>169</v>
      </c>
      <c r="F98" s="7">
        <v>1634.25</v>
      </c>
      <c r="G98" s="3" t="s">
        <v>184</v>
      </c>
      <c r="H98" s="3" t="s">
        <v>202</v>
      </c>
      <c r="I98" s="3" t="s">
        <v>207</v>
      </c>
      <c r="J98" s="3" t="s">
        <v>223</v>
      </c>
      <c r="K98" s="3" t="s">
        <v>235</v>
      </c>
      <c r="L98" s="3" t="s">
        <v>237</v>
      </c>
      <c r="M98" s="3" t="str">
        <f t="shared" si="3"/>
        <v>December</v>
      </c>
      <c r="N98" s="3">
        <f t="shared" si="4"/>
        <v>2025</v>
      </c>
      <c r="O98" s="3" t="str">
        <f t="shared" si="5"/>
        <v>normal</v>
      </c>
    </row>
    <row r="99" spans="1:15" x14ac:dyDescent="0.25">
      <c r="A99" s="3">
        <v>98</v>
      </c>
      <c r="B99" s="5">
        <v>45943</v>
      </c>
      <c r="C99" s="3" t="s">
        <v>15</v>
      </c>
      <c r="D99" s="3" t="s">
        <v>116</v>
      </c>
      <c r="E99" s="3" t="s">
        <v>170</v>
      </c>
      <c r="F99" s="7">
        <v>4482.84</v>
      </c>
      <c r="G99" s="3" t="s">
        <v>194</v>
      </c>
      <c r="H99" s="3" t="s">
        <v>204</v>
      </c>
      <c r="I99" s="3" t="s">
        <v>207</v>
      </c>
      <c r="J99" s="3" t="s">
        <v>212</v>
      </c>
      <c r="K99" s="3" t="s">
        <v>235</v>
      </c>
      <c r="L99" s="3" t="s">
        <v>237</v>
      </c>
      <c r="M99" s="3" t="str">
        <f t="shared" si="3"/>
        <v>October</v>
      </c>
      <c r="N99" s="3">
        <f t="shared" si="4"/>
        <v>2025</v>
      </c>
      <c r="O99" s="3" t="str">
        <f t="shared" si="5"/>
        <v>high</v>
      </c>
    </row>
    <row r="100" spans="1:15" x14ac:dyDescent="0.25">
      <c r="A100" s="3">
        <v>99</v>
      </c>
      <c r="B100" s="5">
        <v>45998</v>
      </c>
      <c r="C100" s="3" t="s">
        <v>15</v>
      </c>
      <c r="D100" s="3" t="s">
        <v>117</v>
      </c>
      <c r="E100" s="3" t="s">
        <v>169</v>
      </c>
      <c r="F100" s="7">
        <v>1976.55</v>
      </c>
      <c r="G100" s="3" t="s">
        <v>185</v>
      </c>
      <c r="H100" s="3" t="s">
        <v>200</v>
      </c>
      <c r="I100" s="3" t="s">
        <v>207</v>
      </c>
      <c r="J100" s="3" t="s">
        <v>212</v>
      </c>
      <c r="K100" s="3" t="s">
        <v>235</v>
      </c>
      <c r="L100" s="3" t="s">
        <v>237</v>
      </c>
      <c r="M100" s="3" t="str">
        <f t="shared" si="3"/>
        <v>December</v>
      </c>
      <c r="N100" s="3">
        <f t="shared" si="4"/>
        <v>2025</v>
      </c>
      <c r="O100" s="3" t="str">
        <f t="shared" si="5"/>
        <v>normal</v>
      </c>
    </row>
    <row r="101" spans="1:15" x14ac:dyDescent="0.25">
      <c r="A101" s="3">
        <v>100</v>
      </c>
      <c r="B101" s="5">
        <v>46025</v>
      </c>
      <c r="C101" s="3" t="s">
        <v>16</v>
      </c>
      <c r="D101" s="3" t="s">
        <v>118</v>
      </c>
      <c r="E101" s="3" t="s">
        <v>170</v>
      </c>
      <c r="F101" s="7">
        <v>103.65</v>
      </c>
      <c r="G101" s="3" t="s">
        <v>184</v>
      </c>
      <c r="H101" s="3" t="s">
        <v>202</v>
      </c>
      <c r="I101" s="3" t="s">
        <v>207</v>
      </c>
      <c r="J101" s="3" t="s">
        <v>228</v>
      </c>
      <c r="K101" s="3" t="s">
        <v>235</v>
      </c>
      <c r="L101" s="3" t="s">
        <v>237</v>
      </c>
      <c r="M101" s="3" t="str">
        <f t="shared" si="3"/>
        <v>January</v>
      </c>
      <c r="N101" s="3">
        <f t="shared" si="4"/>
        <v>2026</v>
      </c>
      <c r="O101" s="3" t="str">
        <f t="shared" si="5"/>
        <v>normal</v>
      </c>
    </row>
    <row r="102" spans="1:15" x14ac:dyDescent="0.25">
      <c r="A102" s="3">
        <v>101</v>
      </c>
      <c r="B102" s="5">
        <v>46025</v>
      </c>
      <c r="C102" s="3" t="s">
        <v>15</v>
      </c>
      <c r="D102" s="3" t="s">
        <v>119</v>
      </c>
      <c r="E102" s="3" t="s">
        <v>169</v>
      </c>
      <c r="F102" s="7">
        <v>4531.6400000000003</v>
      </c>
      <c r="G102" s="3" t="s">
        <v>177</v>
      </c>
      <c r="H102" s="3" t="s">
        <v>200</v>
      </c>
      <c r="I102" s="3" t="s">
        <v>207</v>
      </c>
      <c r="J102" s="3" t="s">
        <v>212</v>
      </c>
      <c r="K102" s="3" t="s">
        <v>235</v>
      </c>
      <c r="L102" s="3" t="s">
        <v>237</v>
      </c>
      <c r="M102" s="3" t="str">
        <f t="shared" si="3"/>
        <v>January</v>
      </c>
      <c r="N102" s="3">
        <f t="shared" si="4"/>
        <v>2026</v>
      </c>
      <c r="O102" s="3" t="str">
        <f t="shared" si="5"/>
        <v>high</v>
      </c>
    </row>
    <row r="103" spans="1:15" x14ac:dyDescent="0.25">
      <c r="A103" s="3">
        <v>102</v>
      </c>
      <c r="B103" s="5">
        <v>45895</v>
      </c>
      <c r="C103" s="3" t="s">
        <v>16</v>
      </c>
      <c r="D103" s="3" t="s">
        <v>120</v>
      </c>
      <c r="E103" s="3" t="s">
        <v>171</v>
      </c>
      <c r="F103" s="7">
        <v>501.87</v>
      </c>
      <c r="G103" s="3" t="s">
        <v>187</v>
      </c>
      <c r="H103" s="3" t="s">
        <v>203</v>
      </c>
      <c r="I103" s="3" t="s">
        <v>207</v>
      </c>
      <c r="J103" s="3" t="s">
        <v>217</v>
      </c>
      <c r="K103" s="3" t="s">
        <v>235</v>
      </c>
      <c r="L103" s="3" t="s">
        <v>237</v>
      </c>
      <c r="M103" s="3" t="str">
        <f t="shared" si="3"/>
        <v>August</v>
      </c>
      <c r="N103" s="3">
        <f t="shared" si="4"/>
        <v>2025</v>
      </c>
      <c r="O103" s="3" t="str">
        <f t="shared" si="5"/>
        <v>normal</v>
      </c>
    </row>
    <row r="104" spans="1:15" x14ac:dyDescent="0.25">
      <c r="A104" s="3">
        <v>103</v>
      </c>
      <c r="B104" s="5">
        <v>45985</v>
      </c>
      <c r="C104" s="3" t="s">
        <v>17</v>
      </c>
      <c r="D104" s="3" t="s">
        <v>121</v>
      </c>
      <c r="E104" s="3" t="s">
        <v>171</v>
      </c>
      <c r="F104" s="7">
        <v>1630.6</v>
      </c>
      <c r="G104" s="3" t="s">
        <v>193</v>
      </c>
      <c r="H104" s="3" t="s">
        <v>205</v>
      </c>
      <c r="I104" s="3" t="s">
        <v>207</v>
      </c>
      <c r="J104" s="3" t="s">
        <v>218</v>
      </c>
      <c r="K104" s="3" t="s">
        <v>235</v>
      </c>
      <c r="L104" s="3" t="s">
        <v>237</v>
      </c>
      <c r="M104" s="3" t="str">
        <f t="shared" si="3"/>
        <v>November</v>
      </c>
      <c r="N104" s="3">
        <f t="shared" si="4"/>
        <v>2025</v>
      </c>
      <c r="O104" s="3" t="str">
        <f t="shared" si="5"/>
        <v>normal</v>
      </c>
    </row>
    <row r="105" spans="1:15" x14ac:dyDescent="0.25">
      <c r="A105" s="3">
        <v>104</v>
      </c>
      <c r="B105" s="5">
        <v>45867</v>
      </c>
      <c r="C105" s="3" t="s">
        <v>16</v>
      </c>
      <c r="D105" s="3" t="s">
        <v>122</v>
      </c>
      <c r="E105" s="3" t="s">
        <v>169</v>
      </c>
      <c r="F105" s="7">
        <v>4752.8100000000004</v>
      </c>
      <c r="G105" s="3" t="s">
        <v>179</v>
      </c>
      <c r="H105" s="3" t="s">
        <v>204</v>
      </c>
      <c r="I105" s="3" t="s">
        <v>207</v>
      </c>
      <c r="J105" s="3" t="s">
        <v>230</v>
      </c>
      <c r="K105" s="3" t="s">
        <v>236</v>
      </c>
      <c r="L105" s="3" t="s">
        <v>237</v>
      </c>
      <c r="M105" s="3" t="str">
        <f t="shared" si="3"/>
        <v>July</v>
      </c>
      <c r="N105" s="3">
        <f t="shared" si="4"/>
        <v>2025</v>
      </c>
      <c r="O105" s="3" t="str">
        <f t="shared" si="5"/>
        <v>high</v>
      </c>
    </row>
    <row r="106" spans="1:15" x14ac:dyDescent="0.25">
      <c r="A106" s="3">
        <v>105</v>
      </c>
      <c r="B106" s="5">
        <v>45903</v>
      </c>
      <c r="C106" s="3" t="s">
        <v>18</v>
      </c>
      <c r="D106" s="3" t="s">
        <v>123</v>
      </c>
      <c r="E106" s="3" t="s">
        <v>170</v>
      </c>
      <c r="F106" s="7">
        <v>4755.51</v>
      </c>
      <c r="G106" s="3" t="s">
        <v>198</v>
      </c>
      <c r="H106" s="3" t="s">
        <v>205</v>
      </c>
      <c r="I106" s="3" t="s">
        <v>207</v>
      </c>
      <c r="J106" s="3" t="s">
        <v>219</v>
      </c>
      <c r="K106" s="3" t="s">
        <v>235</v>
      </c>
      <c r="L106" s="3" t="s">
        <v>237</v>
      </c>
      <c r="M106" s="3" t="str">
        <f t="shared" si="3"/>
        <v>September</v>
      </c>
      <c r="N106" s="3">
        <f t="shared" si="4"/>
        <v>2025</v>
      </c>
      <c r="O106" s="3" t="str">
        <f t="shared" si="5"/>
        <v>high</v>
      </c>
    </row>
    <row r="107" spans="1:15" x14ac:dyDescent="0.25">
      <c r="A107" s="3">
        <v>106</v>
      </c>
      <c r="B107" s="5">
        <v>45890</v>
      </c>
      <c r="C107" s="3" t="s">
        <v>16</v>
      </c>
      <c r="D107" s="3" t="s">
        <v>124</v>
      </c>
      <c r="E107" s="3" t="s">
        <v>171</v>
      </c>
      <c r="F107" s="7">
        <v>2888.52</v>
      </c>
      <c r="G107" s="3" t="s">
        <v>179</v>
      </c>
      <c r="H107" s="3" t="s">
        <v>200</v>
      </c>
      <c r="I107" s="3" t="s">
        <v>207</v>
      </c>
      <c r="J107" s="3" t="s">
        <v>223</v>
      </c>
      <c r="K107" s="3" t="s">
        <v>235</v>
      </c>
      <c r="L107" s="3" t="s">
        <v>237</v>
      </c>
      <c r="M107" s="3" t="str">
        <f t="shared" si="3"/>
        <v>August</v>
      </c>
      <c r="N107" s="3">
        <f t="shared" si="4"/>
        <v>2025</v>
      </c>
      <c r="O107" s="3" t="str">
        <f t="shared" si="5"/>
        <v>normal</v>
      </c>
    </row>
    <row r="108" spans="1:15" x14ac:dyDescent="0.25">
      <c r="A108" s="3">
        <v>107</v>
      </c>
      <c r="B108" s="5">
        <v>45997</v>
      </c>
      <c r="C108" s="3" t="s">
        <v>15</v>
      </c>
      <c r="D108" s="3" t="s">
        <v>125</v>
      </c>
      <c r="E108" s="3" t="s">
        <v>171</v>
      </c>
      <c r="F108" s="7">
        <v>3177.59</v>
      </c>
      <c r="G108" s="3" t="s">
        <v>194</v>
      </c>
      <c r="H108" s="3" t="s">
        <v>204</v>
      </c>
      <c r="I108" s="3" t="s">
        <v>207</v>
      </c>
      <c r="J108" s="3" t="s">
        <v>211</v>
      </c>
      <c r="K108" s="3" t="s">
        <v>235</v>
      </c>
      <c r="L108" s="3" t="s">
        <v>237</v>
      </c>
      <c r="M108" s="3" t="str">
        <f t="shared" si="3"/>
        <v>December</v>
      </c>
      <c r="N108" s="3">
        <f t="shared" si="4"/>
        <v>2025</v>
      </c>
      <c r="O108" s="3" t="str">
        <f t="shared" si="5"/>
        <v>high</v>
      </c>
    </row>
    <row r="109" spans="1:15" x14ac:dyDescent="0.25">
      <c r="A109" s="3">
        <v>108</v>
      </c>
      <c r="B109" s="5">
        <v>45934</v>
      </c>
      <c r="C109" s="3" t="s">
        <v>18</v>
      </c>
      <c r="D109" s="3" t="s">
        <v>126</v>
      </c>
      <c r="E109" s="3" t="s">
        <v>171</v>
      </c>
      <c r="F109" s="7">
        <v>2269.81</v>
      </c>
      <c r="G109" s="3" t="s">
        <v>181</v>
      </c>
      <c r="H109" s="3" t="s">
        <v>205</v>
      </c>
      <c r="I109" s="3" t="s">
        <v>207</v>
      </c>
      <c r="J109" s="3" t="s">
        <v>219</v>
      </c>
      <c r="K109" s="3" t="s">
        <v>235</v>
      </c>
      <c r="L109" s="3" t="s">
        <v>237</v>
      </c>
      <c r="M109" s="3" t="str">
        <f t="shared" si="3"/>
        <v>October</v>
      </c>
      <c r="N109" s="3">
        <f t="shared" si="4"/>
        <v>2025</v>
      </c>
      <c r="O109" s="3" t="str">
        <f t="shared" si="5"/>
        <v>normal</v>
      </c>
    </row>
    <row r="110" spans="1:15" x14ac:dyDescent="0.25">
      <c r="A110" s="3">
        <v>109</v>
      </c>
      <c r="B110" s="5">
        <v>45874</v>
      </c>
      <c r="C110" s="3" t="s">
        <v>15</v>
      </c>
      <c r="D110" s="3" t="s">
        <v>127</v>
      </c>
      <c r="E110" s="3" t="s">
        <v>169</v>
      </c>
      <c r="F110" s="7">
        <v>1501.39</v>
      </c>
      <c r="G110" s="3" t="s">
        <v>177</v>
      </c>
      <c r="H110" s="3" t="s">
        <v>202</v>
      </c>
      <c r="I110" s="3" t="s">
        <v>207</v>
      </c>
      <c r="J110" s="3" t="s">
        <v>213</v>
      </c>
      <c r="K110" s="3" t="s">
        <v>235</v>
      </c>
      <c r="L110" s="3" t="s">
        <v>237</v>
      </c>
      <c r="M110" s="3" t="str">
        <f t="shared" si="3"/>
        <v>August</v>
      </c>
      <c r="N110" s="3">
        <f t="shared" si="4"/>
        <v>2025</v>
      </c>
      <c r="O110" s="3" t="str">
        <f t="shared" si="5"/>
        <v>normal</v>
      </c>
    </row>
    <row r="111" spans="1:15" x14ac:dyDescent="0.25">
      <c r="A111" s="3">
        <v>110</v>
      </c>
      <c r="B111" s="5">
        <v>46024</v>
      </c>
      <c r="C111" s="3" t="s">
        <v>14</v>
      </c>
      <c r="D111" s="3" t="s">
        <v>128</v>
      </c>
      <c r="E111" s="3" t="s">
        <v>169</v>
      </c>
      <c r="F111" s="7">
        <v>1676.89</v>
      </c>
      <c r="G111" s="3" t="s">
        <v>182</v>
      </c>
      <c r="H111" s="3" t="s">
        <v>201</v>
      </c>
      <c r="I111" s="3" t="s">
        <v>207</v>
      </c>
      <c r="J111" s="3" t="s">
        <v>210</v>
      </c>
      <c r="K111" s="3" t="s">
        <v>235</v>
      </c>
      <c r="L111" s="3" t="s">
        <v>237</v>
      </c>
      <c r="M111" s="3" t="str">
        <f t="shared" si="3"/>
        <v>January</v>
      </c>
      <c r="N111" s="3">
        <f t="shared" si="4"/>
        <v>2026</v>
      </c>
      <c r="O111" s="3" t="str">
        <f t="shared" si="5"/>
        <v>normal</v>
      </c>
    </row>
    <row r="112" spans="1:15" x14ac:dyDescent="0.25">
      <c r="A112" s="3">
        <v>111</v>
      </c>
      <c r="B112" s="5">
        <v>45895</v>
      </c>
      <c r="C112" s="3" t="s">
        <v>14</v>
      </c>
      <c r="D112" s="3" t="s">
        <v>129</v>
      </c>
      <c r="E112" s="3" t="s">
        <v>170</v>
      </c>
      <c r="F112" s="7">
        <v>3378.97</v>
      </c>
      <c r="G112" s="3" t="s">
        <v>189</v>
      </c>
      <c r="H112" s="3" t="s">
        <v>200</v>
      </c>
      <c r="I112" s="3" t="s">
        <v>206</v>
      </c>
      <c r="J112" s="3" t="s">
        <v>220</v>
      </c>
      <c r="K112" s="3" t="s">
        <v>235</v>
      </c>
      <c r="L112" s="3" t="s">
        <v>237</v>
      </c>
      <c r="M112" s="3" t="str">
        <f t="shared" si="3"/>
        <v>August</v>
      </c>
      <c r="N112" s="3">
        <f t="shared" si="4"/>
        <v>2025</v>
      </c>
      <c r="O112" s="3" t="str">
        <f t="shared" si="5"/>
        <v>high</v>
      </c>
    </row>
    <row r="113" spans="1:15" x14ac:dyDescent="0.25">
      <c r="A113" s="3">
        <v>112</v>
      </c>
      <c r="B113" s="5">
        <v>45910</v>
      </c>
      <c r="C113" s="3" t="s">
        <v>18</v>
      </c>
      <c r="D113" s="3" t="s">
        <v>130</v>
      </c>
      <c r="E113" s="3" t="s">
        <v>170</v>
      </c>
      <c r="F113" s="7">
        <v>3774.25</v>
      </c>
      <c r="G113" s="3" t="s">
        <v>191</v>
      </c>
      <c r="H113" s="3" t="s">
        <v>205</v>
      </c>
      <c r="I113" s="3" t="s">
        <v>207</v>
      </c>
      <c r="J113" s="3" t="s">
        <v>227</v>
      </c>
      <c r="K113" s="3" t="s">
        <v>235</v>
      </c>
      <c r="L113" s="3" t="s">
        <v>237</v>
      </c>
      <c r="M113" s="3" t="str">
        <f t="shared" si="3"/>
        <v>September</v>
      </c>
      <c r="N113" s="3">
        <f t="shared" si="4"/>
        <v>2025</v>
      </c>
      <c r="O113" s="3" t="str">
        <f t="shared" si="5"/>
        <v>high</v>
      </c>
    </row>
    <row r="114" spans="1:15" x14ac:dyDescent="0.25">
      <c r="A114" s="3">
        <v>113</v>
      </c>
      <c r="B114" s="5">
        <v>46013</v>
      </c>
      <c r="C114" s="3" t="s">
        <v>17</v>
      </c>
      <c r="D114" s="3" t="s">
        <v>131</v>
      </c>
      <c r="E114" s="3" t="s">
        <v>170</v>
      </c>
      <c r="F114" s="7">
        <v>3968.32</v>
      </c>
      <c r="G114" s="3" t="s">
        <v>197</v>
      </c>
      <c r="H114" s="3" t="s">
        <v>200</v>
      </c>
      <c r="I114" s="3" t="s">
        <v>207</v>
      </c>
      <c r="J114" s="3" t="s">
        <v>232</v>
      </c>
      <c r="K114" s="3" t="s">
        <v>235</v>
      </c>
      <c r="L114" s="3" t="s">
        <v>237</v>
      </c>
      <c r="M114" s="3" t="str">
        <f t="shared" si="3"/>
        <v>December</v>
      </c>
      <c r="N114" s="3">
        <f t="shared" si="4"/>
        <v>2025</v>
      </c>
      <c r="O114" s="3" t="str">
        <f t="shared" si="5"/>
        <v>high</v>
      </c>
    </row>
    <row r="115" spans="1:15" x14ac:dyDescent="0.25">
      <c r="A115" s="3">
        <v>114</v>
      </c>
      <c r="B115" s="5">
        <v>45924</v>
      </c>
      <c r="C115" s="3" t="s">
        <v>14</v>
      </c>
      <c r="D115" s="3" t="s">
        <v>132</v>
      </c>
      <c r="E115" s="3" t="s">
        <v>169</v>
      </c>
      <c r="F115" s="7">
        <v>3958.61</v>
      </c>
      <c r="G115" s="3" t="s">
        <v>189</v>
      </c>
      <c r="H115" s="3" t="s">
        <v>200</v>
      </c>
      <c r="I115" s="3" t="s">
        <v>207</v>
      </c>
      <c r="J115" s="3" t="s">
        <v>210</v>
      </c>
      <c r="K115" s="3" t="s">
        <v>235</v>
      </c>
      <c r="L115" s="3" t="s">
        <v>237</v>
      </c>
      <c r="M115" s="3" t="str">
        <f t="shared" si="3"/>
        <v>September</v>
      </c>
      <c r="N115" s="3">
        <f t="shared" si="4"/>
        <v>2025</v>
      </c>
      <c r="O115" s="3" t="str">
        <f t="shared" si="5"/>
        <v>high</v>
      </c>
    </row>
    <row r="116" spans="1:15" x14ac:dyDescent="0.25">
      <c r="A116" s="3">
        <v>115</v>
      </c>
      <c r="B116" s="5">
        <v>45899</v>
      </c>
      <c r="C116" s="3" t="s">
        <v>16</v>
      </c>
      <c r="D116" s="3" t="s">
        <v>133</v>
      </c>
      <c r="E116" s="3" t="s">
        <v>169</v>
      </c>
      <c r="F116" s="7">
        <v>501.47</v>
      </c>
      <c r="G116" s="3" t="s">
        <v>179</v>
      </c>
      <c r="H116" s="3" t="s">
        <v>204</v>
      </c>
      <c r="I116" s="3" t="s">
        <v>206</v>
      </c>
      <c r="J116" s="3" t="s">
        <v>217</v>
      </c>
      <c r="K116" s="3" t="s">
        <v>235</v>
      </c>
      <c r="L116" s="3" t="s">
        <v>237</v>
      </c>
      <c r="M116" s="3" t="str">
        <f t="shared" si="3"/>
        <v>August</v>
      </c>
      <c r="N116" s="3">
        <f t="shared" si="4"/>
        <v>2025</v>
      </c>
      <c r="O116" s="3" t="str">
        <f t="shared" si="5"/>
        <v>normal</v>
      </c>
    </row>
    <row r="117" spans="1:15" x14ac:dyDescent="0.25">
      <c r="A117" s="3">
        <v>116</v>
      </c>
      <c r="B117" s="5">
        <v>45961</v>
      </c>
      <c r="C117" s="3" t="s">
        <v>15</v>
      </c>
      <c r="D117" s="3" t="s">
        <v>134</v>
      </c>
      <c r="E117" s="3" t="s">
        <v>170</v>
      </c>
      <c r="F117" s="7">
        <v>2497.38</v>
      </c>
      <c r="G117" s="3" t="s">
        <v>194</v>
      </c>
      <c r="H117" s="3" t="s">
        <v>204</v>
      </c>
      <c r="I117" s="3" t="s">
        <v>207</v>
      </c>
      <c r="J117" s="3" t="s">
        <v>212</v>
      </c>
      <c r="K117" s="3" t="s">
        <v>235</v>
      </c>
      <c r="L117" s="3" t="s">
        <v>237</v>
      </c>
      <c r="M117" s="3" t="str">
        <f t="shared" si="3"/>
        <v>October</v>
      </c>
      <c r="N117" s="3">
        <f t="shared" si="4"/>
        <v>2025</v>
      </c>
      <c r="O117" s="3" t="str">
        <f t="shared" si="5"/>
        <v>normal</v>
      </c>
    </row>
    <row r="118" spans="1:15" x14ac:dyDescent="0.25">
      <c r="A118" s="3">
        <v>117</v>
      </c>
      <c r="B118" s="5">
        <v>46034</v>
      </c>
      <c r="C118" s="3" t="s">
        <v>14</v>
      </c>
      <c r="D118" s="3" t="s">
        <v>135</v>
      </c>
      <c r="E118" s="3" t="s">
        <v>170</v>
      </c>
      <c r="F118" s="7">
        <v>334.92</v>
      </c>
      <c r="G118" s="3" t="s">
        <v>189</v>
      </c>
      <c r="H118" s="3" t="s">
        <v>201</v>
      </c>
      <c r="I118" s="3" t="s">
        <v>207</v>
      </c>
      <c r="J118" s="3" t="s">
        <v>225</v>
      </c>
      <c r="K118" s="3" t="s">
        <v>235</v>
      </c>
      <c r="L118" s="3" t="s">
        <v>237</v>
      </c>
      <c r="M118" s="3" t="str">
        <f t="shared" si="3"/>
        <v>January</v>
      </c>
      <c r="N118" s="3">
        <f t="shared" si="4"/>
        <v>2026</v>
      </c>
      <c r="O118" s="3" t="str">
        <f t="shared" si="5"/>
        <v>normal</v>
      </c>
    </row>
    <row r="119" spans="1:15" x14ac:dyDescent="0.25">
      <c r="A119" s="3">
        <v>118</v>
      </c>
      <c r="B119" s="5">
        <v>45966</v>
      </c>
      <c r="C119" s="3" t="s">
        <v>14</v>
      </c>
      <c r="D119" s="3" t="s">
        <v>136</v>
      </c>
      <c r="E119" s="3" t="s">
        <v>169</v>
      </c>
      <c r="F119" s="7">
        <v>2770.17</v>
      </c>
      <c r="G119" s="3" t="s">
        <v>189</v>
      </c>
      <c r="H119" s="3" t="s">
        <v>202</v>
      </c>
      <c r="I119" s="3" t="s">
        <v>207</v>
      </c>
      <c r="J119" s="3" t="s">
        <v>222</v>
      </c>
      <c r="K119" s="3" t="s">
        <v>235</v>
      </c>
      <c r="L119" s="3" t="s">
        <v>237</v>
      </c>
      <c r="M119" s="3" t="str">
        <f t="shared" si="3"/>
        <v>November</v>
      </c>
      <c r="N119" s="3">
        <f t="shared" si="4"/>
        <v>2025</v>
      </c>
      <c r="O119" s="3" t="str">
        <f t="shared" si="5"/>
        <v>normal</v>
      </c>
    </row>
    <row r="120" spans="1:15" x14ac:dyDescent="0.25">
      <c r="A120" s="3">
        <v>119</v>
      </c>
      <c r="B120" s="5">
        <v>45897</v>
      </c>
      <c r="C120" s="3" t="s">
        <v>17</v>
      </c>
      <c r="D120" s="3" t="s">
        <v>137</v>
      </c>
      <c r="E120" s="3" t="s">
        <v>170</v>
      </c>
      <c r="F120" s="7">
        <v>2235.58</v>
      </c>
      <c r="G120" s="3" t="s">
        <v>193</v>
      </c>
      <c r="H120" s="3" t="s">
        <v>200</v>
      </c>
      <c r="I120" s="3" t="s">
        <v>207</v>
      </c>
      <c r="J120" s="3" t="s">
        <v>232</v>
      </c>
      <c r="K120" s="3" t="s">
        <v>235</v>
      </c>
      <c r="L120" s="3" t="s">
        <v>237</v>
      </c>
      <c r="M120" s="3" t="str">
        <f t="shared" si="3"/>
        <v>August</v>
      </c>
      <c r="N120" s="3">
        <f t="shared" si="4"/>
        <v>2025</v>
      </c>
      <c r="O120" s="3" t="str">
        <f t="shared" si="5"/>
        <v>normal</v>
      </c>
    </row>
    <row r="121" spans="1:15" x14ac:dyDescent="0.25">
      <c r="A121" s="3">
        <v>120</v>
      </c>
      <c r="B121" s="5">
        <v>45963</v>
      </c>
      <c r="C121" s="3" t="s">
        <v>18</v>
      </c>
      <c r="D121" s="3" t="s">
        <v>138</v>
      </c>
      <c r="E121" s="3" t="s">
        <v>171</v>
      </c>
      <c r="F121" s="7">
        <v>4444.1400000000003</v>
      </c>
      <c r="G121" s="3" t="s">
        <v>191</v>
      </c>
      <c r="H121" s="3" t="s">
        <v>205</v>
      </c>
      <c r="I121" s="3" t="s">
        <v>207</v>
      </c>
      <c r="J121" s="3" t="s">
        <v>221</v>
      </c>
      <c r="K121" s="3" t="s">
        <v>235</v>
      </c>
      <c r="L121" s="3" t="s">
        <v>237</v>
      </c>
      <c r="M121" s="3" t="str">
        <f t="shared" si="3"/>
        <v>November</v>
      </c>
      <c r="N121" s="3">
        <f t="shared" si="4"/>
        <v>2025</v>
      </c>
      <c r="O121" s="3" t="str">
        <f t="shared" si="5"/>
        <v>high</v>
      </c>
    </row>
    <row r="122" spans="1:15" x14ac:dyDescent="0.25">
      <c r="A122" s="3">
        <v>121</v>
      </c>
      <c r="B122" s="5">
        <v>46037</v>
      </c>
      <c r="C122" s="3" t="s">
        <v>18</v>
      </c>
      <c r="D122" s="3" t="s">
        <v>139</v>
      </c>
      <c r="E122" s="3" t="s">
        <v>169</v>
      </c>
      <c r="F122" s="7">
        <v>1787.03</v>
      </c>
      <c r="G122" s="3" t="s">
        <v>191</v>
      </c>
      <c r="H122" s="3" t="s">
        <v>203</v>
      </c>
      <c r="I122" s="3" t="s">
        <v>206</v>
      </c>
      <c r="J122" s="3" t="s">
        <v>219</v>
      </c>
      <c r="K122" s="3" t="s">
        <v>235</v>
      </c>
      <c r="L122" s="3" t="s">
        <v>237</v>
      </c>
      <c r="M122" s="3" t="str">
        <f t="shared" si="3"/>
        <v>January</v>
      </c>
      <c r="N122" s="3">
        <f t="shared" si="4"/>
        <v>2026</v>
      </c>
      <c r="O122" s="3" t="str">
        <f t="shared" si="5"/>
        <v>normal</v>
      </c>
    </row>
    <row r="123" spans="1:15" x14ac:dyDescent="0.25">
      <c r="A123" s="3">
        <v>122</v>
      </c>
      <c r="B123" s="5">
        <v>45993</v>
      </c>
      <c r="C123" s="3" t="s">
        <v>13</v>
      </c>
      <c r="D123" s="3" t="s">
        <v>140</v>
      </c>
      <c r="E123" s="3" t="s">
        <v>170</v>
      </c>
      <c r="F123" s="7">
        <v>629.48</v>
      </c>
      <c r="G123" s="3" t="s">
        <v>188</v>
      </c>
      <c r="H123" s="3" t="s">
        <v>200</v>
      </c>
      <c r="I123" s="3" t="s">
        <v>207</v>
      </c>
      <c r="J123" s="3" t="s">
        <v>216</v>
      </c>
      <c r="K123" s="3" t="s">
        <v>235</v>
      </c>
      <c r="L123" s="3" t="s">
        <v>237</v>
      </c>
      <c r="M123" s="3" t="str">
        <f t="shared" si="3"/>
        <v>December</v>
      </c>
      <c r="N123" s="3">
        <f t="shared" si="4"/>
        <v>2025</v>
      </c>
      <c r="O123" s="3" t="str">
        <f t="shared" si="5"/>
        <v>normal</v>
      </c>
    </row>
    <row r="124" spans="1:15" x14ac:dyDescent="0.25">
      <c r="A124" s="3">
        <v>123</v>
      </c>
      <c r="B124" s="5">
        <v>45863</v>
      </c>
      <c r="C124" s="3" t="s">
        <v>17</v>
      </c>
      <c r="D124" s="3" t="s">
        <v>141</v>
      </c>
      <c r="E124" s="3" t="s">
        <v>169</v>
      </c>
      <c r="F124" s="7">
        <v>757.81</v>
      </c>
      <c r="G124" s="3" t="s">
        <v>193</v>
      </c>
      <c r="H124" s="3" t="s">
        <v>200</v>
      </c>
      <c r="I124" s="3" t="s">
        <v>207</v>
      </c>
      <c r="J124" s="3" t="s">
        <v>231</v>
      </c>
      <c r="K124" s="3" t="s">
        <v>235</v>
      </c>
      <c r="L124" s="3" t="s">
        <v>237</v>
      </c>
      <c r="M124" s="3" t="str">
        <f t="shared" si="3"/>
        <v>July</v>
      </c>
      <c r="N124" s="3">
        <f t="shared" si="4"/>
        <v>2025</v>
      </c>
      <c r="O124" s="3" t="str">
        <f t="shared" si="5"/>
        <v>normal</v>
      </c>
    </row>
    <row r="125" spans="1:15" x14ac:dyDescent="0.25">
      <c r="A125" s="3">
        <v>124</v>
      </c>
      <c r="B125" s="5">
        <v>45867</v>
      </c>
      <c r="C125" s="3" t="s">
        <v>16</v>
      </c>
      <c r="D125" s="3" t="s">
        <v>142</v>
      </c>
      <c r="E125" s="3" t="s">
        <v>171</v>
      </c>
      <c r="F125" s="7">
        <v>3819.48</v>
      </c>
      <c r="G125" s="3" t="s">
        <v>190</v>
      </c>
      <c r="H125" s="3" t="s">
        <v>201</v>
      </c>
      <c r="I125" s="3" t="s">
        <v>207</v>
      </c>
      <c r="J125" s="3" t="s">
        <v>217</v>
      </c>
      <c r="K125" s="3" t="s">
        <v>235</v>
      </c>
      <c r="L125" s="3" t="s">
        <v>237</v>
      </c>
      <c r="M125" s="3" t="str">
        <f t="shared" si="3"/>
        <v>July</v>
      </c>
      <c r="N125" s="3">
        <f t="shared" si="4"/>
        <v>2025</v>
      </c>
      <c r="O125" s="3" t="str">
        <f t="shared" si="5"/>
        <v>high</v>
      </c>
    </row>
    <row r="126" spans="1:15" x14ac:dyDescent="0.25">
      <c r="A126" s="3">
        <v>125</v>
      </c>
      <c r="B126" s="5">
        <v>46004</v>
      </c>
      <c r="C126" s="3" t="s">
        <v>18</v>
      </c>
      <c r="D126" s="3" t="s">
        <v>143</v>
      </c>
      <c r="E126" s="3" t="s">
        <v>169</v>
      </c>
      <c r="F126" s="7">
        <v>3110.18</v>
      </c>
      <c r="G126" s="3" t="s">
        <v>195</v>
      </c>
      <c r="H126" s="3" t="s">
        <v>202</v>
      </c>
      <c r="I126" s="3" t="s">
        <v>206</v>
      </c>
      <c r="J126" s="3" t="s">
        <v>234</v>
      </c>
      <c r="K126" s="3" t="s">
        <v>235</v>
      </c>
      <c r="L126" s="3" t="s">
        <v>237</v>
      </c>
      <c r="M126" s="3" t="str">
        <f t="shared" si="3"/>
        <v>December</v>
      </c>
      <c r="N126" s="3">
        <f t="shared" si="4"/>
        <v>2025</v>
      </c>
      <c r="O126" s="3" t="str">
        <f t="shared" si="5"/>
        <v>high</v>
      </c>
    </row>
    <row r="127" spans="1:15" x14ac:dyDescent="0.25">
      <c r="A127" s="3">
        <v>126</v>
      </c>
      <c r="B127" s="5">
        <v>45965</v>
      </c>
      <c r="C127" s="3" t="s">
        <v>15</v>
      </c>
      <c r="D127" s="3" t="s">
        <v>144</v>
      </c>
      <c r="E127" s="3" t="s">
        <v>169</v>
      </c>
      <c r="F127" s="7">
        <v>550.55999999999995</v>
      </c>
      <c r="G127" s="3" t="s">
        <v>178</v>
      </c>
      <c r="H127" s="3" t="s">
        <v>203</v>
      </c>
      <c r="I127" s="3" t="s">
        <v>207</v>
      </c>
      <c r="J127" s="3" t="s">
        <v>212</v>
      </c>
      <c r="K127" s="3" t="s">
        <v>235</v>
      </c>
      <c r="L127" s="3" t="s">
        <v>237</v>
      </c>
      <c r="M127" s="3" t="str">
        <f t="shared" si="3"/>
        <v>November</v>
      </c>
      <c r="N127" s="3">
        <f t="shared" si="4"/>
        <v>2025</v>
      </c>
      <c r="O127" s="3" t="str">
        <f t="shared" si="5"/>
        <v>normal</v>
      </c>
    </row>
    <row r="128" spans="1:15" x14ac:dyDescent="0.25">
      <c r="A128" s="3">
        <v>127</v>
      </c>
      <c r="B128" s="5">
        <v>45889</v>
      </c>
      <c r="C128" s="3" t="s">
        <v>17</v>
      </c>
      <c r="D128" s="3" t="s">
        <v>145</v>
      </c>
      <c r="E128" s="3" t="s">
        <v>169</v>
      </c>
      <c r="F128" s="7">
        <v>466.33</v>
      </c>
      <c r="G128" s="3" t="s">
        <v>193</v>
      </c>
      <c r="H128" s="3" t="s">
        <v>204</v>
      </c>
      <c r="I128" s="3" t="s">
        <v>207</v>
      </c>
      <c r="J128" s="3" t="s">
        <v>218</v>
      </c>
      <c r="K128" s="3" t="s">
        <v>235</v>
      </c>
      <c r="L128" s="3" t="s">
        <v>237</v>
      </c>
      <c r="M128" s="3" t="str">
        <f t="shared" si="3"/>
        <v>August</v>
      </c>
      <c r="N128" s="3">
        <f t="shared" si="4"/>
        <v>2025</v>
      </c>
      <c r="O128" s="3" t="str">
        <f t="shared" si="5"/>
        <v>normal</v>
      </c>
    </row>
    <row r="129" spans="1:15" x14ac:dyDescent="0.25">
      <c r="A129" s="3">
        <v>128</v>
      </c>
      <c r="B129" s="5">
        <v>45999</v>
      </c>
      <c r="C129" s="3" t="s">
        <v>14</v>
      </c>
      <c r="D129" s="3" t="s">
        <v>146</v>
      </c>
      <c r="E129" s="3" t="s">
        <v>169</v>
      </c>
      <c r="F129" s="7">
        <v>3519.8</v>
      </c>
      <c r="G129" s="3" t="s">
        <v>174</v>
      </c>
      <c r="H129" s="3" t="s">
        <v>204</v>
      </c>
      <c r="I129" s="3" t="s">
        <v>207</v>
      </c>
      <c r="J129" s="3" t="s">
        <v>210</v>
      </c>
      <c r="K129" s="3" t="s">
        <v>235</v>
      </c>
      <c r="L129" s="3" t="s">
        <v>237</v>
      </c>
      <c r="M129" s="3" t="str">
        <f t="shared" si="3"/>
        <v>December</v>
      </c>
      <c r="N129" s="3">
        <f t="shared" si="4"/>
        <v>2025</v>
      </c>
      <c r="O129" s="3" t="str">
        <f t="shared" si="5"/>
        <v>high</v>
      </c>
    </row>
    <row r="130" spans="1:15" x14ac:dyDescent="0.25">
      <c r="A130" s="3">
        <v>129</v>
      </c>
      <c r="B130" s="5">
        <v>45877</v>
      </c>
      <c r="C130" s="3" t="s">
        <v>15</v>
      </c>
      <c r="D130" s="3" t="s">
        <v>147</v>
      </c>
      <c r="E130" s="3" t="s">
        <v>171</v>
      </c>
      <c r="F130" s="7">
        <v>410.18</v>
      </c>
      <c r="G130" s="3" t="s">
        <v>177</v>
      </c>
      <c r="H130" s="3" t="s">
        <v>205</v>
      </c>
      <c r="I130" s="3" t="s">
        <v>207</v>
      </c>
      <c r="J130" s="3" t="s">
        <v>212</v>
      </c>
      <c r="K130" s="3" t="s">
        <v>236</v>
      </c>
      <c r="L130" s="3" t="s">
        <v>237</v>
      </c>
      <c r="M130" s="3" t="str">
        <f t="shared" si="3"/>
        <v>August</v>
      </c>
      <c r="N130" s="3">
        <f t="shared" si="4"/>
        <v>2025</v>
      </c>
      <c r="O130" s="3" t="str">
        <f t="shared" si="5"/>
        <v>normal</v>
      </c>
    </row>
    <row r="131" spans="1:15" x14ac:dyDescent="0.25">
      <c r="A131" s="3">
        <v>130</v>
      </c>
      <c r="B131" s="5">
        <v>45952</v>
      </c>
      <c r="C131" s="3" t="s">
        <v>15</v>
      </c>
      <c r="D131" s="3" t="s">
        <v>148</v>
      </c>
      <c r="E131" s="3" t="s">
        <v>169</v>
      </c>
      <c r="F131" s="7">
        <v>4118.21</v>
      </c>
      <c r="G131" s="3" t="s">
        <v>194</v>
      </c>
      <c r="H131" s="3" t="s">
        <v>203</v>
      </c>
      <c r="I131" s="3" t="s">
        <v>207</v>
      </c>
      <c r="J131" s="3" t="s">
        <v>211</v>
      </c>
      <c r="K131" s="3" t="s">
        <v>235</v>
      </c>
      <c r="L131" s="3" t="s">
        <v>237</v>
      </c>
      <c r="M131" s="3" t="str">
        <f t="shared" ref="M131:M151" si="6">TEXT(B131,"mmmm")</f>
        <v>October</v>
      </c>
      <c r="N131" s="3">
        <f t="shared" ref="N131:N151" si="7">YEAR(B131)</f>
        <v>2025</v>
      </c>
      <c r="O131" s="3" t="str">
        <f t="shared" ref="O131:O151" si="8">IF(F131&gt;3000,"high","normal")</f>
        <v>high</v>
      </c>
    </row>
    <row r="132" spans="1:15" x14ac:dyDescent="0.25">
      <c r="A132" s="3">
        <v>131</v>
      </c>
      <c r="B132" s="5">
        <v>45904</v>
      </c>
      <c r="C132" s="3" t="s">
        <v>14</v>
      </c>
      <c r="D132" s="3" t="s">
        <v>149</v>
      </c>
      <c r="E132" s="3" t="s">
        <v>169</v>
      </c>
      <c r="F132" s="7">
        <v>3545.9</v>
      </c>
      <c r="G132" s="3" t="s">
        <v>174</v>
      </c>
      <c r="H132" s="3" t="s">
        <v>204</v>
      </c>
      <c r="I132" s="3" t="s">
        <v>206</v>
      </c>
      <c r="J132" s="3" t="s">
        <v>220</v>
      </c>
      <c r="K132" s="3" t="s">
        <v>236</v>
      </c>
      <c r="L132" s="3" t="s">
        <v>237</v>
      </c>
      <c r="M132" s="3" t="str">
        <f t="shared" si="6"/>
        <v>September</v>
      </c>
      <c r="N132" s="3">
        <f t="shared" si="7"/>
        <v>2025</v>
      </c>
      <c r="O132" s="3" t="str">
        <f t="shared" si="8"/>
        <v>high</v>
      </c>
    </row>
    <row r="133" spans="1:15" x14ac:dyDescent="0.25">
      <c r="A133" s="3">
        <v>132</v>
      </c>
      <c r="B133" s="5">
        <v>45986</v>
      </c>
      <c r="C133" s="3" t="s">
        <v>17</v>
      </c>
      <c r="D133" s="3" t="s">
        <v>150</v>
      </c>
      <c r="E133" s="3" t="s">
        <v>170</v>
      </c>
      <c r="F133" s="7">
        <v>452.68</v>
      </c>
      <c r="G133" s="3" t="s">
        <v>193</v>
      </c>
      <c r="H133" s="3" t="s">
        <v>205</v>
      </c>
      <c r="I133" s="3" t="s">
        <v>207</v>
      </c>
      <c r="J133" s="3" t="s">
        <v>232</v>
      </c>
      <c r="K133" s="3" t="s">
        <v>235</v>
      </c>
      <c r="L133" s="3" t="s">
        <v>237</v>
      </c>
      <c r="M133" s="3" t="str">
        <f t="shared" si="6"/>
        <v>November</v>
      </c>
      <c r="N133" s="3">
        <f t="shared" si="7"/>
        <v>2025</v>
      </c>
      <c r="O133" s="3" t="str">
        <f t="shared" si="8"/>
        <v>normal</v>
      </c>
    </row>
    <row r="134" spans="1:15" x14ac:dyDescent="0.25">
      <c r="A134" s="3">
        <v>133</v>
      </c>
      <c r="B134" s="5">
        <v>46041</v>
      </c>
      <c r="C134" s="3" t="s">
        <v>14</v>
      </c>
      <c r="D134" s="3" t="s">
        <v>151</v>
      </c>
      <c r="E134" s="3" t="s">
        <v>169</v>
      </c>
      <c r="F134" s="7">
        <v>469.95</v>
      </c>
      <c r="G134" s="3" t="s">
        <v>182</v>
      </c>
      <c r="H134" s="3" t="s">
        <v>202</v>
      </c>
      <c r="I134" s="3" t="s">
        <v>206</v>
      </c>
      <c r="J134" s="3" t="s">
        <v>225</v>
      </c>
      <c r="K134" s="3" t="s">
        <v>235</v>
      </c>
      <c r="L134" s="3" t="s">
        <v>237</v>
      </c>
      <c r="M134" s="3" t="str">
        <f t="shared" si="6"/>
        <v>January</v>
      </c>
      <c r="N134" s="3">
        <f t="shared" si="7"/>
        <v>2026</v>
      </c>
      <c r="O134" s="3" t="str">
        <f t="shared" si="8"/>
        <v>normal</v>
      </c>
    </row>
    <row r="135" spans="1:15" x14ac:dyDescent="0.25">
      <c r="A135" s="3">
        <v>134</v>
      </c>
      <c r="B135" s="5">
        <v>45925</v>
      </c>
      <c r="C135" s="3" t="s">
        <v>13</v>
      </c>
      <c r="D135" s="3" t="s">
        <v>152</v>
      </c>
      <c r="E135" s="3" t="s">
        <v>170</v>
      </c>
      <c r="F135" s="7">
        <v>4933.87</v>
      </c>
      <c r="G135" s="3" t="s">
        <v>192</v>
      </c>
      <c r="H135" s="3" t="s">
        <v>205</v>
      </c>
      <c r="I135" s="3" t="s">
        <v>207</v>
      </c>
      <c r="J135" s="3" t="s">
        <v>224</v>
      </c>
      <c r="K135" s="3" t="s">
        <v>235</v>
      </c>
      <c r="L135" s="3" t="s">
        <v>237</v>
      </c>
      <c r="M135" s="3" t="str">
        <f t="shared" si="6"/>
        <v>September</v>
      </c>
      <c r="N135" s="3">
        <f t="shared" si="7"/>
        <v>2025</v>
      </c>
      <c r="O135" s="3" t="str">
        <f t="shared" si="8"/>
        <v>high</v>
      </c>
    </row>
    <row r="136" spans="1:15" x14ac:dyDescent="0.25">
      <c r="A136" s="3">
        <v>135</v>
      </c>
      <c r="B136" s="5">
        <v>45958</v>
      </c>
      <c r="C136" s="3" t="s">
        <v>15</v>
      </c>
      <c r="D136" s="3" t="s">
        <v>153</v>
      </c>
      <c r="E136" s="3" t="s">
        <v>171</v>
      </c>
      <c r="F136" s="7">
        <v>1902.64</v>
      </c>
      <c r="G136" s="3" t="s">
        <v>178</v>
      </c>
      <c r="H136" s="3" t="s">
        <v>204</v>
      </c>
      <c r="I136" s="3" t="s">
        <v>207</v>
      </c>
      <c r="J136" s="3" t="s">
        <v>211</v>
      </c>
      <c r="K136" s="3" t="s">
        <v>235</v>
      </c>
      <c r="L136" s="3" t="s">
        <v>237</v>
      </c>
      <c r="M136" s="3" t="str">
        <f t="shared" si="6"/>
        <v>October</v>
      </c>
      <c r="N136" s="3">
        <f t="shared" si="7"/>
        <v>2025</v>
      </c>
      <c r="O136" s="3" t="str">
        <f t="shared" si="8"/>
        <v>normal</v>
      </c>
    </row>
    <row r="137" spans="1:15" x14ac:dyDescent="0.25">
      <c r="A137" s="3">
        <v>136</v>
      </c>
      <c r="B137" s="5">
        <v>45914</v>
      </c>
      <c r="C137" s="3" t="s">
        <v>12</v>
      </c>
      <c r="D137" s="3" t="s">
        <v>154</v>
      </c>
      <c r="E137" s="3" t="s">
        <v>171</v>
      </c>
      <c r="F137" s="7">
        <v>1884.68</v>
      </c>
      <c r="G137" s="3" t="s">
        <v>172</v>
      </c>
      <c r="H137" s="3" t="s">
        <v>201</v>
      </c>
      <c r="I137" s="3" t="s">
        <v>206</v>
      </c>
      <c r="J137" s="3" t="s">
        <v>233</v>
      </c>
      <c r="K137" s="3" t="s">
        <v>235</v>
      </c>
      <c r="L137" s="3" t="s">
        <v>237</v>
      </c>
      <c r="M137" s="3" t="str">
        <f t="shared" si="6"/>
        <v>September</v>
      </c>
      <c r="N137" s="3">
        <f t="shared" si="7"/>
        <v>2025</v>
      </c>
      <c r="O137" s="3" t="str">
        <f t="shared" si="8"/>
        <v>normal</v>
      </c>
    </row>
    <row r="138" spans="1:15" x14ac:dyDescent="0.25">
      <c r="A138" s="3">
        <v>137</v>
      </c>
      <c r="B138" s="5">
        <v>45958</v>
      </c>
      <c r="C138" s="3" t="s">
        <v>12</v>
      </c>
      <c r="D138" s="3" t="s">
        <v>155</v>
      </c>
      <c r="E138" s="3" t="s">
        <v>171</v>
      </c>
      <c r="F138" s="7">
        <v>4073.36</v>
      </c>
      <c r="G138" s="3" t="s">
        <v>199</v>
      </c>
      <c r="H138" s="3" t="s">
        <v>201</v>
      </c>
      <c r="I138" s="3" t="s">
        <v>207</v>
      </c>
      <c r="J138" s="3" t="s">
        <v>233</v>
      </c>
      <c r="K138" s="3" t="s">
        <v>235</v>
      </c>
      <c r="L138" s="3" t="s">
        <v>237</v>
      </c>
      <c r="M138" s="3" t="str">
        <f t="shared" si="6"/>
        <v>October</v>
      </c>
      <c r="N138" s="3">
        <f t="shared" si="7"/>
        <v>2025</v>
      </c>
      <c r="O138" s="3" t="str">
        <f t="shared" si="8"/>
        <v>high</v>
      </c>
    </row>
    <row r="139" spans="1:15" x14ac:dyDescent="0.25">
      <c r="A139" s="3">
        <v>138</v>
      </c>
      <c r="B139" s="5">
        <v>45994</v>
      </c>
      <c r="C139" s="3" t="s">
        <v>16</v>
      </c>
      <c r="D139" s="3" t="s">
        <v>156</v>
      </c>
      <c r="E139" s="3" t="s">
        <v>171</v>
      </c>
      <c r="F139" s="7">
        <v>4738.88</v>
      </c>
      <c r="G139" s="3" t="s">
        <v>187</v>
      </c>
      <c r="H139" s="3" t="s">
        <v>201</v>
      </c>
      <c r="I139" s="3" t="s">
        <v>207</v>
      </c>
      <c r="J139" s="3" t="s">
        <v>223</v>
      </c>
      <c r="K139" s="3" t="s">
        <v>235</v>
      </c>
      <c r="L139" s="3" t="s">
        <v>237</v>
      </c>
      <c r="M139" s="3" t="str">
        <f t="shared" si="6"/>
        <v>December</v>
      </c>
      <c r="N139" s="3">
        <f t="shared" si="7"/>
        <v>2025</v>
      </c>
      <c r="O139" s="3" t="str">
        <f t="shared" si="8"/>
        <v>high</v>
      </c>
    </row>
    <row r="140" spans="1:15" x14ac:dyDescent="0.25">
      <c r="A140" s="3">
        <v>139</v>
      </c>
      <c r="B140" s="5">
        <v>46013</v>
      </c>
      <c r="C140" s="3" t="s">
        <v>18</v>
      </c>
      <c r="D140" s="3" t="s">
        <v>157</v>
      </c>
      <c r="E140" s="3" t="s">
        <v>170</v>
      </c>
      <c r="F140" s="7">
        <v>4930.71</v>
      </c>
      <c r="G140" s="3" t="s">
        <v>195</v>
      </c>
      <c r="H140" s="3" t="s">
        <v>204</v>
      </c>
      <c r="I140" s="3" t="s">
        <v>207</v>
      </c>
      <c r="J140" s="3" t="s">
        <v>234</v>
      </c>
      <c r="K140" s="3" t="s">
        <v>235</v>
      </c>
      <c r="L140" s="3" t="s">
        <v>237</v>
      </c>
      <c r="M140" s="3" t="str">
        <f t="shared" si="6"/>
        <v>December</v>
      </c>
      <c r="N140" s="3">
        <f t="shared" si="7"/>
        <v>2025</v>
      </c>
      <c r="O140" s="3" t="str">
        <f t="shared" si="8"/>
        <v>high</v>
      </c>
    </row>
    <row r="141" spans="1:15" x14ac:dyDescent="0.25">
      <c r="A141" s="3">
        <v>140</v>
      </c>
      <c r="B141" s="5">
        <v>46005</v>
      </c>
      <c r="C141" s="3" t="s">
        <v>14</v>
      </c>
      <c r="D141" s="3" t="s">
        <v>158</v>
      </c>
      <c r="E141" s="3" t="s">
        <v>169</v>
      </c>
      <c r="F141" s="7">
        <v>3779.22</v>
      </c>
      <c r="G141" s="3" t="s">
        <v>182</v>
      </c>
      <c r="H141" s="3" t="s">
        <v>201</v>
      </c>
      <c r="I141" s="3" t="s">
        <v>207</v>
      </c>
      <c r="J141" s="3" t="s">
        <v>225</v>
      </c>
      <c r="K141" s="3" t="s">
        <v>235</v>
      </c>
      <c r="L141" s="3" t="s">
        <v>237</v>
      </c>
      <c r="M141" s="3" t="str">
        <f t="shared" si="6"/>
        <v>December</v>
      </c>
      <c r="N141" s="3">
        <f t="shared" si="7"/>
        <v>2025</v>
      </c>
      <c r="O141" s="3" t="str">
        <f t="shared" si="8"/>
        <v>high</v>
      </c>
    </row>
    <row r="142" spans="1:15" x14ac:dyDescent="0.25">
      <c r="A142" s="3">
        <v>141</v>
      </c>
      <c r="B142" s="5">
        <v>46033</v>
      </c>
      <c r="C142" s="3" t="s">
        <v>14</v>
      </c>
      <c r="D142" s="3" t="s">
        <v>159</v>
      </c>
      <c r="E142" s="3" t="s">
        <v>171</v>
      </c>
      <c r="F142" s="7">
        <v>1912.48</v>
      </c>
      <c r="G142" s="3" t="s">
        <v>182</v>
      </c>
      <c r="H142" s="3" t="s">
        <v>203</v>
      </c>
      <c r="I142" s="3" t="s">
        <v>207</v>
      </c>
      <c r="J142" s="3" t="s">
        <v>220</v>
      </c>
      <c r="K142" s="3" t="s">
        <v>235</v>
      </c>
      <c r="L142" s="3" t="s">
        <v>237</v>
      </c>
      <c r="M142" s="3" t="str">
        <f t="shared" si="6"/>
        <v>January</v>
      </c>
      <c r="N142" s="3">
        <f t="shared" si="7"/>
        <v>2026</v>
      </c>
      <c r="O142" s="3" t="str">
        <f t="shared" si="8"/>
        <v>normal</v>
      </c>
    </row>
    <row r="143" spans="1:15" x14ac:dyDescent="0.25">
      <c r="A143" s="3">
        <v>142</v>
      </c>
      <c r="B143" s="5">
        <v>45891</v>
      </c>
      <c r="C143" s="3" t="s">
        <v>16</v>
      </c>
      <c r="D143" s="3" t="s">
        <v>160</v>
      </c>
      <c r="E143" s="3" t="s">
        <v>169</v>
      </c>
      <c r="F143" s="7">
        <v>463.33</v>
      </c>
      <c r="G143" s="3" t="s">
        <v>187</v>
      </c>
      <c r="H143" s="3" t="s">
        <v>202</v>
      </c>
      <c r="I143" s="3" t="s">
        <v>207</v>
      </c>
      <c r="J143" s="3" t="s">
        <v>230</v>
      </c>
      <c r="K143" s="3" t="s">
        <v>235</v>
      </c>
      <c r="L143" s="3" t="s">
        <v>237</v>
      </c>
      <c r="M143" s="3" t="str">
        <f t="shared" si="6"/>
        <v>August</v>
      </c>
      <c r="N143" s="3">
        <f t="shared" si="7"/>
        <v>2025</v>
      </c>
      <c r="O143" s="3" t="str">
        <f t="shared" si="8"/>
        <v>normal</v>
      </c>
    </row>
    <row r="144" spans="1:15" x14ac:dyDescent="0.25">
      <c r="A144" s="3">
        <v>143</v>
      </c>
      <c r="B144" s="5">
        <v>45898</v>
      </c>
      <c r="C144" s="3" t="s">
        <v>16</v>
      </c>
      <c r="D144" s="3" t="s">
        <v>161</v>
      </c>
      <c r="E144" s="3" t="s">
        <v>170</v>
      </c>
      <c r="F144" s="7">
        <v>3896.88</v>
      </c>
      <c r="G144" s="3" t="s">
        <v>184</v>
      </c>
      <c r="H144" s="3" t="s">
        <v>205</v>
      </c>
      <c r="I144" s="3" t="s">
        <v>207</v>
      </c>
      <c r="J144" s="3" t="s">
        <v>223</v>
      </c>
      <c r="K144" s="3" t="s">
        <v>235</v>
      </c>
      <c r="L144" s="3" t="s">
        <v>237</v>
      </c>
      <c r="M144" s="3" t="str">
        <f t="shared" si="6"/>
        <v>August</v>
      </c>
      <c r="N144" s="3">
        <f t="shared" si="7"/>
        <v>2025</v>
      </c>
      <c r="O144" s="3" t="str">
        <f t="shared" si="8"/>
        <v>high</v>
      </c>
    </row>
    <row r="145" spans="1:15" x14ac:dyDescent="0.25">
      <c r="A145" s="3">
        <v>144</v>
      </c>
      <c r="B145" s="5">
        <v>45875</v>
      </c>
      <c r="C145" s="3" t="s">
        <v>16</v>
      </c>
      <c r="D145" s="3" t="s">
        <v>162</v>
      </c>
      <c r="E145" s="3" t="s">
        <v>170</v>
      </c>
      <c r="F145" s="7">
        <v>2814.1</v>
      </c>
      <c r="G145" s="3" t="s">
        <v>184</v>
      </c>
      <c r="H145" s="3" t="s">
        <v>205</v>
      </c>
      <c r="I145" s="3" t="s">
        <v>207</v>
      </c>
      <c r="J145" s="3" t="s">
        <v>223</v>
      </c>
      <c r="K145" s="3" t="s">
        <v>236</v>
      </c>
      <c r="L145" s="3" t="s">
        <v>237</v>
      </c>
      <c r="M145" s="3" t="str">
        <f t="shared" si="6"/>
        <v>August</v>
      </c>
      <c r="N145" s="3">
        <f t="shared" si="7"/>
        <v>2025</v>
      </c>
      <c r="O145" s="3" t="str">
        <f t="shared" si="8"/>
        <v>normal</v>
      </c>
    </row>
    <row r="146" spans="1:15" x14ac:dyDescent="0.25">
      <c r="A146" s="3">
        <v>145</v>
      </c>
      <c r="B146" s="5">
        <v>46022</v>
      </c>
      <c r="C146" s="3" t="s">
        <v>15</v>
      </c>
      <c r="D146" s="3" t="s">
        <v>163</v>
      </c>
      <c r="E146" s="3" t="s">
        <v>170</v>
      </c>
      <c r="F146" s="7">
        <v>2149.9</v>
      </c>
      <c r="G146" s="3" t="s">
        <v>177</v>
      </c>
      <c r="H146" s="3" t="s">
        <v>204</v>
      </c>
      <c r="I146" s="3" t="s">
        <v>206</v>
      </c>
      <c r="J146" s="3" t="s">
        <v>211</v>
      </c>
      <c r="K146" s="3" t="s">
        <v>236</v>
      </c>
      <c r="L146" s="3" t="s">
        <v>237</v>
      </c>
      <c r="M146" s="3" t="str">
        <f t="shared" si="6"/>
        <v>December</v>
      </c>
      <c r="N146" s="3">
        <f t="shared" si="7"/>
        <v>2025</v>
      </c>
      <c r="O146" s="3" t="str">
        <f t="shared" si="8"/>
        <v>normal</v>
      </c>
    </row>
    <row r="147" spans="1:15" x14ac:dyDescent="0.25">
      <c r="A147" s="3">
        <v>146</v>
      </c>
      <c r="B147" s="5">
        <v>45933</v>
      </c>
      <c r="C147" s="3" t="s">
        <v>13</v>
      </c>
      <c r="D147" s="3" t="s">
        <v>164</v>
      </c>
      <c r="E147" s="3" t="s">
        <v>171</v>
      </c>
      <c r="F147" s="7">
        <v>4536.45</v>
      </c>
      <c r="G147" s="3" t="s">
        <v>176</v>
      </c>
      <c r="H147" s="3" t="s">
        <v>201</v>
      </c>
      <c r="I147" s="3" t="s">
        <v>207</v>
      </c>
      <c r="J147" s="3" t="s">
        <v>216</v>
      </c>
      <c r="K147" s="3" t="s">
        <v>235</v>
      </c>
      <c r="L147" s="3" t="s">
        <v>237</v>
      </c>
      <c r="M147" s="3" t="str">
        <f t="shared" si="6"/>
        <v>October</v>
      </c>
      <c r="N147" s="3">
        <f t="shared" si="7"/>
        <v>2025</v>
      </c>
      <c r="O147" s="3" t="str">
        <f t="shared" si="8"/>
        <v>high</v>
      </c>
    </row>
    <row r="148" spans="1:15" x14ac:dyDescent="0.25">
      <c r="A148" s="3">
        <v>147</v>
      </c>
      <c r="B148" s="5">
        <v>45948</v>
      </c>
      <c r="C148" s="3" t="s">
        <v>14</v>
      </c>
      <c r="D148" s="3" t="s">
        <v>165</v>
      </c>
      <c r="E148" s="3" t="s">
        <v>169</v>
      </c>
      <c r="F148" s="7">
        <v>600.42999999999995</v>
      </c>
      <c r="G148" s="3" t="s">
        <v>182</v>
      </c>
      <c r="H148" s="3" t="s">
        <v>201</v>
      </c>
      <c r="I148" s="3" t="s">
        <v>207</v>
      </c>
      <c r="J148" s="3" t="s">
        <v>222</v>
      </c>
      <c r="K148" s="3" t="s">
        <v>235</v>
      </c>
      <c r="L148" s="3" t="s">
        <v>237</v>
      </c>
      <c r="M148" s="3" t="str">
        <f t="shared" si="6"/>
        <v>October</v>
      </c>
      <c r="N148" s="3">
        <f t="shared" si="7"/>
        <v>2025</v>
      </c>
      <c r="O148" s="3" t="str">
        <f t="shared" si="8"/>
        <v>normal</v>
      </c>
    </row>
    <row r="149" spans="1:15" x14ac:dyDescent="0.25">
      <c r="A149" s="3">
        <v>148</v>
      </c>
      <c r="B149" s="5">
        <v>45890</v>
      </c>
      <c r="C149" s="3" t="s">
        <v>15</v>
      </c>
      <c r="D149" s="3" t="s">
        <v>166</v>
      </c>
      <c r="E149" s="3" t="s">
        <v>169</v>
      </c>
      <c r="F149" s="7">
        <v>2488.4899999999998</v>
      </c>
      <c r="G149" s="3" t="s">
        <v>194</v>
      </c>
      <c r="H149" s="3" t="s">
        <v>200</v>
      </c>
      <c r="I149" s="3" t="s">
        <v>207</v>
      </c>
      <c r="J149" s="3" t="s">
        <v>214</v>
      </c>
      <c r="K149" s="3" t="s">
        <v>236</v>
      </c>
      <c r="L149" s="3" t="s">
        <v>237</v>
      </c>
      <c r="M149" s="3" t="str">
        <f t="shared" si="6"/>
        <v>August</v>
      </c>
      <c r="N149" s="3">
        <f t="shared" si="7"/>
        <v>2025</v>
      </c>
      <c r="O149" s="3" t="str">
        <f t="shared" si="8"/>
        <v>normal</v>
      </c>
    </row>
    <row r="150" spans="1:15" x14ac:dyDescent="0.25">
      <c r="A150" s="3">
        <v>149</v>
      </c>
      <c r="B150" s="5">
        <v>45928</v>
      </c>
      <c r="C150" s="3" t="s">
        <v>16</v>
      </c>
      <c r="D150" s="3" t="s">
        <v>167</v>
      </c>
      <c r="E150" s="3" t="s">
        <v>169</v>
      </c>
      <c r="F150" s="7">
        <v>106.2</v>
      </c>
      <c r="G150" s="3" t="s">
        <v>179</v>
      </c>
      <c r="H150" s="3" t="s">
        <v>202</v>
      </c>
      <c r="I150" s="3" t="s">
        <v>207</v>
      </c>
      <c r="J150" s="3" t="s">
        <v>230</v>
      </c>
      <c r="K150" s="3" t="s">
        <v>235</v>
      </c>
      <c r="L150" s="3" t="s">
        <v>237</v>
      </c>
      <c r="M150" s="3" t="str">
        <f t="shared" si="6"/>
        <v>September</v>
      </c>
      <c r="N150" s="3">
        <f t="shared" si="7"/>
        <v>2025</v>
      </c>
      <c r="O150" s="3" t="str">
        <f t="shared" si="8"/>
        <v>normal</v>
      </c>
    </row>
    <row r="151" spans="1:15" x14ac:dyDescent="0.25">
      <c r="A151" s="3">
        <v>150</v>
      </c>
      <c r="B151" s="5">
        <v>46032</v>
      </c>
      <c r="C151" s="3" t="s">
        <v>14</v>
      </c>
      <c r="D151" s="3" t="s">
        <v>168</v>
      </c>
      <c r="E151" s="3" t="s">
        <v>170</v>
      </c>
      <c r="F151" s="7">
        <v>2369.87</v>
      </c>
      <c r="G151" s="3" t="s">
        <v>183</v>
      </c>
      <c r="H151" s="3" t="s">
        <v>203</v>
      </c>
      <c r="I151" s="3" t="s">
        <v>207</v>
      </c>
      <c r="J151" s="3" t="s">
        <v>220</v>
      </c>
      <c r="K151" s="3" t="s">
        <v>235</v>
      </c>
      <c r="L151" s="3" t="s">
        <v>237</v>
      </c>
      <c r="M151" s="3" t="str">
        <f t="shared" si="6"/>
        <v>January</v>
      </c>
      <c r="N151" s="3">
        <f t="shared" si="7"/>
        <v>2026</v>
      </c>
      <c r="O151" s="3" t="str">
        <f t="shared" si="8"/>
        <v>normal</v>
      </c>
    </row>
  </sheetData>
  <pageMargins left="0.7" right="0.7" top="0.75" bottom="0.75" header="0.3" footer="0.3"/>
  <pageSetup orientation="portrait" horizontalDpi="360" verticalDpi="36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65EFA-771F-4594-8B06-27BE744C36CA}">
  <dimension ref="A1:O151"/>
  <sheetViews>
    <sheetView zoomScale="89" zoomScaleNormal="89" workbookViewId="0">
      <selection activeCell="I17" sqref="I17"/>
    </sheetView>
  </sheetViews>
  <sheetFormatPr defaultRowHeight="15" x14ac:dyDescent="0.25"/>
  <cols>
    <col min="1" max="1" width="22.85546875" customWidth="1"/>
    <col min="2" max="2" width="11.42578125" customWidth="1"/>
    <col min="3" max="3" width="18.42578125" customWidth="1"/>
    <col min="4" max="4" width="16.28515625" style="9" customWidth="1"/>
    <col min="5" max="5" width="14" customWidth="1"/>
    <col min="6" max="6" width="7.85546875" customWidth="1"/>
    <col min="7" max="7" width="14" style="3" bestFit="1" customWidth="1"/>
    <col min="8" max="8" width="21.85546875" customWidth="1"/>
    <col min="9" max="9" width="12.42578125" customWidth="1"/>
    <col min="10" max="10" width="5.28515625" customWidth="1"/>
    <col min="11" max="11" width="25.28515625" style="15" customWidth="1"/>
    <col min="12" max="12" width="14.85546875" customWidth="1"/>
    <col min="14" max="14" width="18.28515625" style="5" bestFit="1" customWidth="1"/>
    <col min="15" max="15" width="21.7109375" customWidth="1"/>
  </cols>
  <sheetData>
    <row r="1" spans="1:15" x14ac:dyDescent="0.25">
      <c r="A1" s="9" t="s">
        <v>241</v>
      </c>
      <c r="C1" s="9" t="s">
        <v>238</v>
      </c>
      <c r="D1" s="9" t="s">
        <v>249</v>
      </c>
      <c r="E1" s="9" t="s">
        <v>250</v>
      </c>
      <c r="G1" s="14" t="s">
        <v>2</v>
      </c>
      <c r="H1" s="9" t="s">
        <v>252</v>
      </c>
      <c r="I1" s="9" t="s">
        <v>253</v>
      </c>
      <c r="K1" s="14" t="s">
        <v>4</v>
      </c>
      <c r="L1" s="16" t="s">
        <v>255</v>
      </c>
      <c r="N1" s="19" t="s">
        <v>1</v>
      </c>
      <c r="O1" s="9" t="s">
        <v>257</v>
      </c>
    </row>
    <row r="2" spans="1:15" x14ac:dyDescent="0.25">
      <c r="A2" s="23">
        <f>SUM('Cleaned data'!F:F)</f>
        <v>373159.22000000009</v>
      </c>
      <c r="C2" t="s">
        <v>242</v>
      </c>
      <c r="D2" s="24">
        <f>SUMIFS('Cleaned data'!F:F,'Cleaned data'!M:M,calculations!C2)</f>
        <v>40165.729999999989</v>
      </c>
      <c r="E2" s="13">
        <f>Table1[[#This Row],[Monthly Total]]/$A$2</f>
        <v>0.10763697598038709</v>
      </c>
      <c r="G2" s="3" t="s">
        <v>12</v>
      </c>
      <c r="H2" s="23">
        <f>SUMIFS('Cleaned data'!F:F,'Cleaned data'!C:C,calculations!G2)</f>
        <v>25427.91</v>
      </c>
      <c r="I2" s="13">
        <f>H2/$A$2</f>
        <v>6.8142253057555419E-2</v>
      </c>
      <c r="K2" s="15" t="s">
        <v>169</v>
      </c>
      <c r="L2" s="23">
        <f>SUMIFS('Cleaned data'!F:F,'Cleaned data'!E:E,calculations!K2)</f>
        <v>133107.09999999998</v>
      </c>
      <c r="N2" s="5">
        <v>45965</v>
      </c>
      <c r="O2" s="8">
        <f>SUM('Cleaned data'!F1:F1:'Cleaned data'!F2)</f>
        <v>3986.17</v>
      </c>
    </row>
    <row r="3" spans="1:15" x14ac:dyDescent="0.25">
      <c r="C3" s="12" t="s">
        <v>243</v>
      </c>
      <c r="D3" s="24">
        <f>SUMIFS('Cleaned data'!F:F,'Cleaned data'!M:M,calculations!C3)</f>
        <v>28485.579999999994</v>
      </c>
      <c r="E3" s="13">
        <f>Table1[[#This Row],[Monthly Total]]/$A$2</f>
        <v>7.6336262038493891E-2</v>
      </c>
      <c r="G3" s="3" t="s">
        <v>13</v>
      </c>
      <c r="H3" s="23">
        <f>SUMIFS('Cleaned data'!F:F,'Cleaned data'!C:C,calculations!G3)</f>
        <v>51240.790000000008</v>
      </c>
      <c r="I3" s="13">
        <f t="shared" ref="I3:I8" si="0">H3/$A$2</f>
        <v>0.13731615689410004</v>
      </c>
      <c r="K3" s="15" t="s">
        <v>170</v>
      </c>
      <c r="L3" s="23">
        <f>SUMIFS('Cleaned data'!F:F,'Cleaned data'!E:E,calculations!K3)</f>
        <v>114922.82999999997</v>
      </c>
      <c r="N3" s="5">
        <v>46042</v>
      </c>
      <c r="O3" s="8">
        <f>SUM('Cleaned data'!F2:F2:'Cleaned data'!F3)</f>
        <v>5376.79</v>
      </c>
    </row>
    <row r="4" spans="1:15" x14ac:dyDescent="0.25">
      <c r="A4" s="9"/>
      <c r="B4" s="11"/>
      <c r="C4" t="s">
        <v>244</v>
      </c>
      <c r="D4" s="24">
        <f>SUMIFS('Cleaned data'!F:F,'Cleaned data'!M:M,calculations!C4)</f>
        <v>64382.409999999996</v>
      </c>
      <c r="E4" s="13">
        <f>Table1[[#This Row],[Monthly Total]]/$A$2</f>
        <v>0.1725333491692902</v>
      </c>
      <c r="G4" s="3" t="s">
        <v>14</v>
      </c>
      <c r="H4" s="23">
        <f>SUMIFS('Cleaned data'!F:F,'Cleaned data'!C:C,calculations!G4)</f>
        <v>79972.259999999966</v>
      </c>
      <c r="I4" s="13">
        <f t="shared" si="0"/>
        <v>0.21431136017488714</v>
      </c>
      <c r="K4" s="15" t="s">
        <v>171</v>
      </c>
      <c r="L4" s="23">
        <f>SUMIFS('Cleaned data'!F:F,'Cleaned data'!E:E,calculations!K4)</f>
        <v>125129.29</v>
      </c>
      <c r="N4" s="5">
        <v>45955</v>
      </c>
      <c r="O4" s="8">
        <f>SUM('Cleaned data'!F3:F3:'Cleaned data'!F4)</f>
        <v>3613.5299999999997</v>
      </c>
    </row>
    <row r="5" spans="1:15" x14ac:dyDescent="0.25">
      <c r="A5" s="20"/>
      <c r="B5" s="10"/>
      <c r="C5" t="s">
        <v>245</v>
      </c>
      <c r="D5" s="24">
        <f>SUMIFS('Cleaned data'!F:F,'Cleaned data'!M:M,calculations!C5)</f>
        <v>67939.72</v>
      </c>
      <c r="E5" s="13">
        <f>Table1[[#This Row],[Monthly Total]]/$A$2</f>
        <v>0.18206630402968466</v>
      </c>
      <c r="G5" s="3" t="s">
        <v>15</v>
      </c>
      <c r="H5" s="23">
        <f>SUMIFS('Cleaned data'!F:F,'Cleaned data'!C:C,calculations!G5)</f>
        <v>65266.479999999989</v>
      </c>
      <c r="I5" s="13">
        <f t="shared" si="0"/>
        <v>0.17490249872427102</v>
      </c>
      <c r="K5"/>
      <c r="N5" s="5">
        <v>45877</v>
      </c>
      <c r="O5" s="8">
        <f>SUM('Cleaned data'!F4:F4:'Cleaned data'!F5)</f>
        <v>2661.27</v>
      </c>
    </row>
    <row r="6" spans="1:15" x14ac:dyDescent="0.25">
      <c r="B6" s="10"/>
      <c r="C6" t="s">
        <v>246</v>
      </c>
      <c r="D6" s="24">
        <f>SUMIFS('Cleaned data'!F:F,'Cleaned data'!M:M,calculations!C6)</f>
        <v>75715.97</v>
      </c>
      <c r="E6" s="13">
        <f>Table1[[#This Row],[Monthly Total]]/$A$2</f>
        <v>0.20290526387100924</v>
      </c>
      <c r="G6" s="3" t="s">
        <v>16</v>
      </c>
      <c r="H6" s="23">
        <f>SUMIFS('Cleaned data'!F:F,'Cleaned data'!C:C,calculations!G6)</f>
        <v>63013.39</v>
      </c>
      <c r="I6" s="13">
        <f t="shared" si="0"/>
        <v>0.16886462030872501</v>
      </c>
      <c r="K6" s="18" t="s">
        <v>256</v>
      </c>
      <c r="L6" s="18"/>
      <c r="N6" s="5">
        <v>45969</v>
      </c>
      <c r="O6" s="8">
        <f>SUM('Cleaned data'!F5:F5:'Cleaned data'!F6)</f>
        <v>613.85</v>
      </c>
    </row>
    <row r="7" spans="1:15" x14ac:dyDescent="0.25">
      <c r="B7" s="10"/>
      <c r="C7" t="s">
        <v>247</v>
      </c>
      <c r="D7" s="24">
        <f>SUMIFS('Cleaned data'!F:F,'Cleaned data'!M:M,calculations!C7)</f>
        <v>79596.039999999979</v>
      </c>
      <c r="E7" s="13">
        <f>Table1[[#This Row],[Monthly Total]]/$A$2</f>
        <v>0.2133031578316622</v>
      </c>
      <c r="G7" s="3" t="s">
        <v>17</v>
      </c>
      <c r="H7" s="23">
        <f>SUMIFS('Cleaned data'!F:F,'Cleaned data'!C:C,calculations!G7)</f>
        <v>34284.67</v>
      </c>
      <c r="I7" s="13">
        <f t="shared" si="0"/>
        <v>9.1876786536320851E-2</v>
      </c>
      <c r="K7"/>
      <c r="N7" s="5">
        <v>45934</v>
      </c>
      <c r="O7" s="8">
        <f>SUM('Cleaned data'!F6:F6:'Cleaned data'!F7)</f>
        <v>4990.5999999999995</v>
      </c>
    </row>
    <row r="8" spans="1:15" x14ac:dyDescent="0.25">
      <c r="B8" s="10"/>
      <c r="C8" t="s">
        <v>248</v>
      </c>
      <c r="D8" s="24">
        <f>SUMIFS('Cleaned data'!F:F,'Cleaned data'!M:M,calculations!C8)</f>
        <v>16873.77</v>
      </c>
      <c r="E8" s="13">
        <f>Table1[[#This Row],[Monthly Total]]/$A$2</f>
        <v>4.5218687079472394E-2</v>
      </c>
      <c r="G8" s="3" t="s">
        <v>18</v>
      </c>
      <c r="H8" s="23">
        <f>SUMIFS('Cleaned data'!F:F,'Cleaned data'!C:C,calculations!G8)</f>
        <v>53953.719999999994</v>
      </c>
      <c r="I8" s="13">
        <f t="shared" si="0"/>
        <v>0.14458632430414015</v>
      </c>
      <c r="K8"/>
      <c r="N8" s="5">
        <v>45883</v>
      </c>
      <c r="O8" s="8">
        <f>SUM('Cleaned data'!F7:F7:'Cleaned data'!F8)</f>
        <v>9003.2099999999991</v>
      </c>
    </row>
    <row r="9" spans="1:15" x14ac:dyDescent="0.25">
      <c r="B9" s="10"/>
      <c r="C9" s="25" t="s">
        <v>251</v>
      </c>
      <c r="D9" s="25"/>
      <c r="E9" s="25"/>
      <c r="G9"/>
      <c r="K9"/>
      <c r="N9" s="5">
        <v>45984</v>
      </c>
      <c r="O9" s="8">
        <f>SUM('Cleaned data'!F8:F8:'Cleaned data'!F9)</f>
        <v>7683.17</v>
      </c>
    </row>
    <row r="10" spans="1:15" x14ac:dyDescent="0.25">
      <c r="B10" s="10"/>
      <c r="G10" s="25" t="s">
        <v>254</v>
      </c>
      <c r="H10" s="25"/>
      <c r="I10" s="25"/>
      <c r="K10"/>
      <c r="N10" s="5">
        <v>45937</v>
      </c>
      <c r="O10" s="8">
        <f>SUM('Cleaned data'!F9:F9:'Cleaned data'!F10)</f>
        <v>5569.39</v>
      </c>
    </row>
    <row r="11" spans="1:15" x14ac:dyDescent="0.25">
      <c r="B11" s="10"/>
      <c r="G11"/>
      <c r="K11"/>
      <c r="N11" s="5">
        <v>45950</v>
      </c>
      <c r="O11" s="8">
        <f>SUM('Cleaned data'!F10:F10:'Cleaned data'!F11)</f>
        <v>2982.13</v>
      </c>
    </row>
    <row r="12" spans="1:15" x14ac:dyDescent="0.25">
      <c r="B12" s="10"/>
      <c r="C12" s="9"/>
      <c r="G12"/>
      <c r="K12"/>
      <c r="N12" s="5">
        <v>45979</v>
      </c>
      <c r="O12" s="8">
        <f>SUM('Cleaned data'!F11:F11:'Cleaned data'!F12)</f>
        <v>1732.17</v>
      </c>
    </row>
    <row r="13" spans="1:15" x14ac:dyDescent="0.25">
      <c r="B13" s="10"/>
      <c r="G13"/>
      <c r="K13"/>
      <c r="N13" s="5">
        <v>45962</v>
      </c>
      <c r="O13" s="8">
        <f>SUM('Cleaned data'!F12:F12:'Cleaned data'!F13)</f>
        <v>2113.06</v>
      </c>
    </row>
    <row r="14" spans="1:15" x14ac:dyDescent="0.25">
      <c r="B14" s="10"/>
      <c r="C14" s="9" t="s">
        <v>264</v>
      </c>
      <c r="F14" s="9"/>
      <c r="G14"/>
      <c r="K14" s="9" t="s">
        <v>258</v>
      </c>
      <c r="N14" s="5">
        <v>45966</v>
      </c>
      <c r="O14" s="8">
        <f>SUM('Cleaned data'!F13:F13:'Cleaned data'!F14)</f>
        <v>4057.37</v>
      </c>
    </row>
    <row r="15" spans="1:15" x14ac:dyDescent="0.25">
      <c r="B15" s="10"/>
      <c r="C15" s="23">
        <f>AVERAGE(Table5[Amount],Table5[Month])</f>
        <v>2487.728133333334</v>
      </c>
      <c r="D15"/>
      <c r="F15" s="20"/>
      <c r="G15"/>
      <c r="K15" s="20">
        <f>COUNTIF('Cleaned data'!O:O,"HIGH")</f>
        <v>63</v>
      </c>
      <c r="N15" s="5">
        <v>46014</v>
      </c>
      <c r="O15" s="8">
        <f>SUM('Cleaned data'!F14:F14:'Cleaned data'!F15)</f>
        <v>6355.92</v>
      </c>
    </row>
    <row r="16" spans="1:15" x14ac:dyDescent="0.25">
      <c r="B16" s="10"/>
      <c r="G16"/>
      <c r="K16"/>
      <c r="N16" s="5">
        <v>45993</v>
      </c>
      <c r="O16" s="8">
        <f>SUM('Cleaned data'!F15:F15:'Cleaned data'!F16)</f>
        <v>6905.23</v>
      </c>
    </row>
    <row r="17" spans="2:15" x14ac:dyDescent="0.25">
      <c r="B17" s="10"/>
      <c r="G17"/>
      <c r="K17"/>
      <c r="N17" s="5">
        <v>46012</v>
      </c>
      <c r="O17" s="8">
        <f>SUM('Cleaned data'!F16:F16:'Cleaned data'!F17)</f>
        <v>4753.6499999999996</v>
      </c>
    </row>
    <row r="18" spans="2:15" x14ac:dyDescent="0.25">
      <c r="B18" s="10"/>
      <c r="G18"/>
      <c r="K18"/>
      <c r="N18" s="5">
        <v>45915</v>
      </c>
      <c r="O18" s="8">
        <f>SUM('Cleaned data'!F17:F17:'Cleaned data'!F18)</f>
        <v>6212.25</v>
      </c>
    </row>
    <row r="19" spans="2:15" x14ac:dyDescent="0.25">
      <c r="G19"/>
      <c r="K19"/>
      <c r="N19" s="5">
        <v>45864</v>
      </c>
      <c r="O19" s="8">
        <f>SUM('Cleaned data'!F18:F18:'Cleaned data'!F19)</f>
        <v>8479.17</v>
      </c>
    </row>
    <row r="20" spans="2:15" x14ac:dyDescent="0.25">
      <c r="G20"/>
      <c r="K20"/>
      <c r="N20" s="5">
        <v>46020</v>
      </c>
      <c r="O20" s="8">
        <f>SUM('Cleaned data'!F19:F19:'Cleaned data'!F20)</f>
        <v>6496.64</v>
      </c>
    </row>
    <row r="21" spans="2:15" x14ac:dyDescent="0.25">
      <c r="G21"/>
      <c r="K21"/>
      <c r="N21" s="5">
        <v>45900</v>
      </c>
      <c r="O21" s="8">
        <f>SUM('Cleaned data'!F20:F20:'Cleaned data'!F21)</f>
        <v>5872.07</v>
      </c>
    </row>
    <row r="22" spans="2:15" x14ac:dyDescent="0.25">
      <c r="G22"/>
      <c r="K22"/>
      <c r="N22" s="5">
        <v>45992</v>
      </c>
      <c r="O22" s="8">
        <f>SUM('Cleaned data'!F21:F21:'Cleaned data'!F22)</f>
        <v>5205.04</v>
      </c>
    </row>
    <row r="23" spans="2:15" x14ac:dyDescent="0.25">
      <c r="G23"/>
      <c r="K23"/>
      <c r="N23" s="5">
        <v>46023</v>
      </c>
      <c r="O23" s="8">
        <f>SUM('Cleaned data'!F22:F22:'Cleaned data'!F23)</f>
        <v>3403.29</v>
      </c>
    </row>
    <row r="24" spans="2:15" x14ac:dyDescent="0.25">
      <c r="G24"/>
      <c r="K24"/>
      <c r="N24" s="5">
        <v>45920</v>
      </c>
      <c r="O24" s="8">
        <f>SUM('Cleaned data'!F23:F23:'Cleaned data'!F24)</f>
        <v>3088.33</v>
      </c>
    </row>
    <row r="25" spans="2:15" x14ac:dyDescent="0.25">
      <c r="G25"/>
      <c r="K25"/>
      <c r="N25" s="5">
        <v>45884</v>
      </c>
      <c r="O25" s="8">
        <f>SUM('Cleaned data'!F24:F24:'Cleaned data'!F25)</f>
        <v>5613.4</v>
      </c>
    </row>
    <row r="26" spans="2:15" x14ac:dyDescent="0.25">
      <c r="G26"/>
      <c r="K26"/>
      <c r="N26" s="5">
        <v>45951</v>
      </c>
      <c r="O26" s="8">
        <f>SUM('Cleaned data'!F25:F25:'Cleaned data'!F26)</f>
        <v>3922.59</v>
      </c>
    </row>
    <row r="27" spans="2:15" x14ac:dyDescent="0.25">
      <c r="G27"/>
      <c r="K27"/>
      <c r="N27" s="5">
        <v>45911</v>
      </c>
      <c r="O27" s="8">
        <f>SUM('Cleaned data'!F26:F26:'Cleaned data'!F27)</f>
        <v>745.81</v>
      </c>
    </row>
    <row r="28" spans="2:15" x14ac:dyDescent="0.25">
      <c r="G28"/>
      <c r="K28"/>
      <c r="N28" s="5">
        <v>45921</v>
      </c>
      <c r="O28" s="8">
        <f>SUM('Cleaned data'!F27:F27:'Cleaned data'!F28)</f>
        <v>902.27</v>
      </c>
    </row>
    <row r="29" spans="2:15" x14ac:dyDescent="0.25">
      <c r="G29"/>
      <c r="K29"/>
      <c r="N29" s="5">
        <v>46032</v>
      </c>
      <c r="O29" s="8">
        <f>SUM('Cleaned data'!F28:F28:'Cleaned data'!F29)</f>
        <v>529.31999999999994</v>
      </c>
    </row>
    <row r="30" spans="2:15" x14ac:dyDescent="0.25">
      <c r="G30"/>
      <c r="K30"/>
      <c r="N30" s="5">
        <v>46037</v>
      </c>
      <c r="O30" s="8">
        <f>SUM('Cleaned data'!F29:F29:'Cleaned data'!F30)</f>
        <v>4536.1399999999994</v>
      </c>
    </row>
    <row r="31" spans="2:15" x14ac:dyDescent="0.25">
      <c r="G31"/>
      <c r="K31"/>
      <c r="N31" s="5">
        <v>45913</v>
      </c>
      <c r="O31" s="8">
        <f>SUM('Cleaned data'!F30:F30:'Cleaned data'!F31)</f>
        <v>7817.6399999999994</v>
      </c>
    </row>
    <row r="32" spans="2:15" x14ac:dyDescent="0.25">
      <c r="G32"/>
      <c r="K32"/>
      <c r="N32" s="5">
        <v>45970</v>
      </c>
      <c r="O32" s="8">
        <f>SUM('Cleaned data'!F31:F31:'Cleaned data'!F32)</f>
        <v>5930.27</v>
      </c>
    </row>
    <row r="33" spans="7:15" x14ac:dyDescent="0.25">
      <c r="G33"/>
      <c r="K33"/>
      <c r="N33" s="5">
        <v>45917</v>
      </c>
      <c r="O33" s="8">
        <f>SUM('Cleaned data'!F32:F32:'Cleaned data'!F33)</f>
        <v>2931.4399999999996</v>
      </c>
    </row>
    <row r="34" spans="7:15" x14ac:dyDescent="0.25">
      <c r="G34"/>
      <c r="K34"/>
      <c r="N34" s="5">
        <v>45926</v>
      </c>
      <c r="O34" s="8">
        <f>SUM('Cleaned data'!F33:F33:'Cleaned data'!F34)</f>
        <v>3017.7799999999997</v>
      </c>
    </row>
    <row r="35" spans="7:15" x14ac:dyDescent="0.25">
      <c r="G35"/>
      <c r="K35"/>
      <c r="N35" s="5">
        <v>45997</v>
      </c>
      <c r="O35" s="8">
        <f>SUM('Cleaned data'!F34:F34:'Cleaned data'!F35)</f>
        <v>4877.1900000000005</v>
      </c>
    </row>
    <row r="36" spans="7:15" x14ac:dyDescent="0.25">
      <c r="G36"/>
      <c r="K36"/>
      <c r="N36" s="5">
        <v>45935</v>
      </c>
      <c r="O36" s="8">
        <f>SUM('Cleaned data'!F35:F35:'Cleaned data'!F36)</f>
        <v>3301.04</v>
      </c>
    </row>
    <row r="37" spans="7:15" x14ac:dyDescent="0.25">
      <c r="G37"/>
      <c r="K37"/>
      <c r="N37" s="5">
        <v>46029</v>
      </c>
      <c r="O37" s="8">
        <f>SUM('Cleaned data'!F36:F36:'Cleaned data'!F37)</f>
        <v>3104.92</v>
      </c>
    </row>
    <row r="38" spans="7:15" x14ac:dyDescent="0.25">
      <c r="G38"/>
      <c r="K38"/>
      <c r="N38" s="5">
        <v>45880</v>
      </c>
      <c r="O38" s="8">
        <f>SUM('Cleaned data'!F37:F37:'Cleaned data'!F38)</f>
        <v>4220.17</v>
      </c>
    </row>
    <row r="39" spans="7:15" x14ac:dyDescent="0.25">
      <c r="G39"/>
      <c r="K39"/>
      <c r="N39" s="5">
        <v>45994</v>
      </c>
      <c r="O39" s="8">
        <f>SUM('Cleaned data'!F38:F38:'Cleaned data'!F39)</f>
        <v>5121.0599999999995</v>
      </c>
    </row>
    <row r="40" spans="7:15" x14ac:dyDescent="0.25">
      <c r="G40"/>
      <c r="K40"/>
      <c r="N40" s="5">
        <v>45922</v>
      </c>
      <c r="O40" s="8">
        <f>SUM('Cleaned data'!F39:F39:'Cleaned data'!F40)</f>
        <v>6292.17</v>
      </c>
    </row>
    <row r="41" spans="7:15" x14ac:dyDescent="0.25">
      <c r="G41"/>
      <c r="K41"/>
      <c r="N41" s="5">
        <v>45876</v>
      </c>
      <c r="O41" s="8">
        <f>SUM('Cleaned data'!F40:F40:'Cleaned data'!F41)</f>
        <v>3467.96</v>
      </c>
    </row>
    <row r="42" spans="7:15" x14ac:dyDescent="0.25">
      <c r="G42"/>
      <c r="K42"/>
      <c r="N42" s="5">
        <v>45871</v>
      </c>
      <c r="O42" s="8">
        <f>SUM('Cleaned data'!F41:F41:'Cleaned data'!F42)</f>
        <v>2178.58</v>
      </c>
    </row>
    <row r="43" spans="7:15" x14ac:dyDescent="0.25">
      <c r="G43"/>
      <c r="K43"/>
      <c r="N43" s="5">
        <v>45952</v>
      </c>
      <c r="O43" s="8">
        <f>SUM('Cleaned data'!F42:F42:'Cleaned data'!F43)</f>
        <v>5052.34</v>
      </c>
    </row>
    <row r="44" spans="7:15" x14ac:dyDescent="0.25">
      <c r="G44"/>
      <c r="K44"/>
      <c r="N44" s="5">
        <v>45946</v>
      </c>
      <c r="O44" s="8">
        <f>SUM('Cleaned data'!F43:F43:'Cleaned data'!F44)</f>
        <v>5688.5300000000007</v>
      </c>
    </row>
    <row r="45" spans="7:15" x14ac:dyDescent="0.25">
      <c r="G45"/>
      <c r="K45"/>
      <c r="N45" s="5">
        <v>45954</v>
      </c>
      <c r="O45" s="8">
        <f>SUM('Cleaned data'!F44:F44:'Cleaned data'!F45)</f>
        <v>6830.1399999999994</v>
      </c>
    </row>
    <row r="46" spans="7:15" x14ac:dyDescent="0.25">
      <c r="G46"/>
      <c r="K46"/>
      <c r="N46" s="5">
        <v>45973</v>
      </c>
      <c r="O46" s="8">
        <f>SUM('Cleaned data'!F45:F45:'Cleaned data'!F46)</f>
        <v>7600.15</v>
      </c>
    </row>
    <row r="47" spans="7:15" x14ac:dyDescent="0.25">
      <c r="G47"/>
      <c r="K47"/>
      <c r="N47" s="5">
        <v>46034</v>
      </c>
      <c r="O47" s="8">
        <f>SUM('Cleaned data'!F46:F46:'Cleaned data'!F47)</f>
        <v>4167.0600000000004</v>
      </c>
    </row>
    <row r="48" spans="7:15" x14ac:dyDescent="0.25">
      <c r="G48"/>
      <c r="K48"/>
      <c r="N48" s="5">
        <v>45870</v>
      </c>
      <c r="O48" s="8">
        <f>SUM('Cleaned data'!F47:F47:'Cleaned data'!F48)</f>
        <v>1255.8499999999999</v>
      </c>
    </row>
    <row r="49" spans="7:15" x14ac:dyDescent="0.25">
      <c r="G49"/>
      <c r="K49"/>
      <c r="N49" s="5">
        <v>45897</v>
      </c>
      <c r="O49" s="8">
        <f>SUM('Cleaned data'!F48:F48:'Cleaned data'!F49)</f>
        <v>3629.3</v>
      </c>
    </row>
    <row r="50" spans="7:15" x14ac:dyDescent="0.25">
      <c r="G50"/>
      <c r="K50"/>
      <c r="N50" s="5">
        <v>45943</v>
      </c>
      <c r="O50" s="8">
        <f>SUM('Cleaned data'!F49:F49:'Cleaned data'!F50)</f>
        <v>3411.21</v>
      </c>
    </row>
    <row r="51" spans="7:15" x14ac:dyDescent="0.25">
      <c r="G51"/>
      <c r="K51"/>
      <c r="N51" s="5">
        <v>46026</v>
      </c>
      <c r="O51" s="8">
        <f>SUM('Cleaned data'!F50:F50:'Cleaned data'!F51)</f>
        <v>3130.82</v>
      </c>
    </row>
    <row r="52" spans="7:15" x14ac:dyDescent="0.25">
      <c r="G52"/>
      <c r="K52"/>
      <c r="N52" s="5">
        <v>45912</v>
      </c>
      <c r="O52" s="8">
        <f>SUM('Cleaned data'!F51:F51:'Cleaned data'!F52)</f>
        <v>7653.7300000000005</v>
      </c>
    </row>
    <row r="53" spans="7:15" x14ac:dyDescent="0.25">
      <c r="G53"/>
      <c r="K53"/>
      <c r="N53" s="5">
        <v>45996</v>
      </c>
      <c r="O53" s="8">
        <f>SUM('Cleaned data'!F52:F52:'Cleaned data'!F53)</f>
        <v>7602.74</v>
      </c>
    </row>
    <row r="54" spans="7:15" x14ac:dyDescent="0.25">
      <c r="G54"/>
      <c r="K54"/>
      <c r="N54" s="5">
        <v>45916</v>
      </c>
      <c r="O54" s="8">
        <f>SUM('Cleaned data'!F53:F53:'Cleaned data'!F54)</f>
        <v>4870.04</v>
      </c>
    </row>
    <row r="55" spans="7:15" x14ac:dyDescent="0.25">
      <c r="G55"/>
      <c r="K55"/>
      <c r="N55" s="5">
        <v>45968</v>
      </c>
      <c r="O55" s="8">
        <f>SUM('Cleaned data'!F54:F54:'Cleaned data'!F55)</f>
        <v>5205.72</v>
      </c>
    </row>
    <row r="56" spans="7:15" x14ac:dyDescent="0.25">
      <c r="G56"/>
      <c r="K56"/>
      <c r="N56" s="5">
        <v>45866</v>
      </c>
      <c r="O56" s="8">
        <f>SUM('Cleaned data'!F55:F55:'Cleaned data'!F56)</f>
        <v>5552.63</v>
      </c>
    </row>
    <row r="57" spans="7:15" x14ac:dyDescent="0.25">
      <c r="G57"/>
      <c r="K57"/>
      <c r="N57" s="5">
        <v>46008</v>
      </c>
      <c r="O57" s="8">
        <f>SUM('Cleaned data'!F56:F56:'Cleaned data'!F57)</f>
        <v>5069.1499999999996</v>
      </c>
    </row>
    <row r="58" spans="7:15" x14ac:dyDescent="0.25">
      <c r="G58"/>
      <c r="K58"/>
      <c r="N58" s="5">
        <v>45906</v>
      </c>
      <c r="O58" s="8">
        <f>SUM('Cleaned data'!F57:F57:'Cleaned data'!F58)</f>
        <v>7461.05</v>
      </c>
    </row>
    <row r="59" spans="7:15" x14ac:dyDescent="0.25">
      <c r="G59"/>
      <c r="K59"/>
      <c r="N59" s="5">
        <v>46024</v>
      </c>
      <c r="O59" s="8">
        <f>SUM('Cleaned data'!F58:F58:'Cleaned data'!F59)</f>
        <v>6671.46</v>
      </c>
    </row>
    <row r="60" spans="7:15" x14ac:dyDescent="0.25">
      <c r="G60"/>
      <c r="K60"/>
      <c r="N60" s="5">
        <v>45957</v>
      </c>
      <c r="O60" s="8">
        <f>SUM('Cleaned data'!F59:F59:'Cleaned data'!F60)</f>
        <v>6769.1</v>
      </c>
    </row>
    <row r="61" spans="7:15" x14ac:dyDescent="0.25">
      <c r="G61"/>
      <c r="K61"/>
      <c r="N61" s="5">
        <v>45910</v>
      </c>
      <c r="O61" s="8">
        <f>SUM('Cleaned data'!F60:F60:'Cleaned data'!F61)</f>
        <v>9339.380000000001</v>
      </c>
    </row>
    <row r="62" spans="7:15" x14ac:dyDescent="0.25">
      <c r="G62"/>
      <c r="K62"/>
      <c r="N62" s="5">
        <v>45902</v>
      </c>
      <c r="O62" s="8">
        <f>SUM('Cleaned data'!F61:F61:'Cleaned data'!F62)</f>
        <v>5550.66</v>
      </c>
    </row>
    <row r="63" spans="7:15" x14ac:dyDescent="0.25">
      <c r="G63"/>
      <c r="K63"/>
      <c r="N63" s="5">
        <v>45944</v>
      </c>
      <c r="O63" s="8">
        <f>SUM('Cleaned data'!F62:F62:'Cleaned data'!F63)</f>
        <v>1412.51</v>
      </c>
    </row>
    <row r="64" spans="7:15" x14ac:dyDescent="0.25">
      <c r="G64"/>
      <c r="K64"/>
      <c r="N64" s="5">
        <v>45886</v>
      </c>
      <c r="O64" s="8">
        <f>SUM('Cleaned data'!F63:F63:'Cleaned data'!F64)</f>
        <v>942.19</v>
      </c>
    </row>
    <row r="65" spans="7:15" x14ac:dyDescent="0.25">
      <c r="G65"/>
      <c r="K65"/>
      <c r="N65" s="5">
        <v>46016</v>
      </c>
      <c r="O65" s="8">
        <f>SUM('Cleaned data'!F64:F64:'Cleaned data'!F65)</f>
        <v>689.05</v>
      </c>
    </row>
    <row r="66" spans="7:15" x14ac:dyDescent="0.25">
      <c r="G66"/>
      <c r="K66"/>
      <c r="N66" s="5">
        <v>45986</v>
      </c>
      <c r="O66" s="8">
        <f>SUM('Cleaned data'!F65:F65:'Cleaned data'!F66)</f>
        <v>657.69</v>
      </c>
    </row>
    <row r="67" spans="7:15" x14ac:dyDescent="0.25">
      <c r="G67"/>
      <c r="K67"/>
      <c r="N67" s="5">
        <v>45903</v>
      </c>
      <c r="O67" s="8">
        <f>SUM('Cleaned data'!F66:F66:'Cleaned data'!F67)</f>
        <v>3948.37</v>
      </c>
    </row>
    <row r="68" spans="7:15" x14ac:dyDescent="0.25">
      <c r="G68"/>
      <c r="K68"/>
      <c r="N68" s="5">
        <v>46019</v>
      </c>
      <c r="O68" s="8">
        <f>SUM('Cleaned data'!F67:F67:'Cleaned data'!F68)</f>
        <v>3833.26</v>
      </c>
    </row>
    <row r="69" spans="7:15" x14ac:dyDescent="0.25">
      <c r="G69"/>
      <c r="K69"/>
      <c r="N69" s="5">
        <v>45907</v>
      </c>
      <c r="O69" s="8">
        <f>SUM('Cleaned data'!F68:F68:'Cleaned data'!F69)</f>
        <v>2031.31</v>
      </c>
    </row>
    <row r="70" spans="7:15" x14ac:dyDescent="0.25">
      <c r="G70"/>
      <c r="K70"/>
      <c r="N70" s="5">
        <v>45927</v>
      </c>
      <c r="O70" s="8">
        <f>SUM('Cleaned data'!F69:F69:'Cleaned data'!F70)</f>
        <v>5861.06</v>
      </c>
    </row>
    <row r="71" spans="7:15" x14ac:dyDescent="0.25">
      <c r="G71"/>
      <c r="K71"/>
      <c r="N71" s="5">
        <v>45933</v>
      </c>
      <c r="O71" s="8">
        <f>SUM('Cleaned data'!F70:F70:'Cleaned data'!F71)</f>
        <v>4397.33</v>
      </c>
    </row>
    <row r="72" spans="7:15" x14ac:dyDescent="0.25">
      <c r="G72"/>
      <c r="K72"/>
      <c r="N72" s="5">
        <v>45991</v>
      </c>
      <c r="O72" s="8">
        <f>SUM('Cleaned data'!F71:F71:'Cleaned data'!F72)</f>
        <v>4246.82</v>
      </c>
    </row>
    <row r="73" spans="7:15" x14ac:dyDescent="0.25">
      <c r="G73"/>
      <c r="K73"/>
      <c r="N73" s="5">
        <v>45998</v>
      </c>
      <c r="O73" s="8">
        <f>SUM('Cleaned data'!F72:F72:'Cleaned data'!F73)</f>
        <v>5526.8</v>
      </c>
    </row>
    <row r="74" spans="7:15" x14ac:dyDescent="0.25">
      <c r="G74"/>
      <c r="K74"/>
      <c r="N74" s="5">
        <v>45925</v>
      </c>
      <c r="O74" s="8">
        <f>SUM('Cleaned data'!F73:F73:'Cleaned data'!F74)</f>
        <v>2080.1</v>
      </c>
    </row>
    <row r="75" spans="7:15" x14ac:dyDescent="0.25">
      <c r="G75"/>
      <c r="K75"/>
      <c r="N75" s="5">
        <v>46001</v>
      </c>
      <c r="O75" s="8">
        <f>SUM('Cleaned data'!F74:F74:'Cleaned data'!F75)</f>
        <v>4133.7699999999995</v>
      </c>
    </row>
    <row r="76" spans="7:15" x14ac:dyDescent="0.25">
      <c r="G76"/>
      <c r="K76"/>
      <c r="N76" s="5">
        <v>46025</v>
      </c>
      <c r="O76" s="8">
        <f>SUM('Cleaned data'!F75:F75:'Cleaned data'!F76)</f>
        <v>6662.12</v>
      </c>
    </row>
    <row r="77" spans="7:15" x14ac:dyDescent="0.25">
      <c r="G77"/>
      <c r="K77"/>
      <c r="N77" s="5">
        <v>45895</v>
      </c>
      <c r="O77" s="8">
        <f>SUM('Cleaned data'!F76:F76:'Cleaned data'!F77)</f>
        <v>7556.76</v>
      </c>
    </row>
    <row r="78" spans="7:15" x14ac:dyDescent="0.25">
      <c r="G78"/>
      <c r="K78"/>
      <c r="N78" s="5">
        <v>45985</v>
      </c>
      <c r="O78" s="8">
        <f>SUM('Cleaned data'!F77:F77:'Cleaned data'!F78)</f>
        <v>8082.09</v>
      </c>
    </row>
    <row r="79" spans="7:15" x14ac:dyDescent="0.25">
      <c r="G79"/>
      <c r="K79"/>
      <c r="N79" s="5">
        <v>45867</v>
      </c>
      <c r="O79" s="8">
        <f>SUM('Cleaned data'!F78:F78:'Cleaned data'!F79)</f>
        <v>7715.83</v>
      </c>
    </row>
    <row r="80" spans="7:15" x14ac:dyDescent="0.25">
      <c r="G80"/>
      <c r="K80"/>
      <c r="N80" s="5">
        <v>45890</v>
      </c>
      <c r="O80" s="8">
        <f>SUM('Cleaned data'!F79:F79:'Cleaned data'!F80)</f>
        <v>5473.3</v>
      </c>
    </row>
    <row r="81" spans="7:15" x14ac:dyDescent="0.25">
      <c r="G81"/>
      <c r="K81"/>
      <c r="N81" s="5">
        <v>45874</v>
      </c>
      <c r="O81" s="8">
        <f>SUM('Cleaned data'!F80:F80:'Cleaned data'!F81)</f>
        <v>2374.4</v>
      </c>
    </row>
    <row r="82" spans="7:15" x14ac:dyDescent="0.25">
      <c r="G82"/>
      <c r="K82"/>
      <c r="N82" s="5">
        <v>46013</v>
      </c>
      <c r="O82" s="8">
        <f>SUM('Cleaned data'!F81:F81:'Cleaned data'!F82)</f>
        <v>4693.87</v>
      </c>
    </row>
    <row r="83" spans="7:15" x14ac:dyDescent="0.25">
      <c r="G83"/>
      <c r="K83"/>
      <c r="N83" s="5">
        <v>45924</v>
      </c>
      <c r="O83" s="8">
        <f>SUM('Cleaned data'!F82:F82:'Cleaned data'!F83)</f>
        <v>7809.37</v>
      </c>
    </row>
    <row r="84" spans="7:15" x14ac:dyDescent="0.25">
      <c r="G84"/>
      <c r="K84"/>
      <c r="N84" s="5">
        <v>45899</v>
      </c>
      <c r="O84" s="8">
        <f>SUM('Cleaned data'!F83:F83:'Cleaned data'!F84)</f>
        <v>8996.83</v>
      </c>
    </row>
    <row r="85" spans="7:15" x14ac:dyDescent="0.25">
      <c r="G85"/>
      <c r="K85"/>
      <c r="N85" s="5">
        <v>45961</v>
      </c>
      <c r="O85" s="8">
        <f>SUM('Cleaned data'!F84:F84:'Cleaned data'!F85)</f>
        <v>7045.46</v>
      </c>
    </row>
    <row r="86" spans="7:15" x14ac:dyDescent="0.25">
      <c r="G86"/>
      <c r="K86"/>
      <c r="N86" s="5">
        <v>45963</v>
      </c>
      <c r="O86" s="8">
        <f>SUM('Cleaned data'!F85:F85:'Cleaned data'!F86)</f>
        <v>3983.95</v>
      </c>
    </row>
    <row r="87" spans="7:15" x14ac:dyDescent="0.25">
      <c r="G87"/>
      <c r="K87"/>
      <c r="N87" s="5">
        <v>45863</v>
      </c>
      <c r="O87" s="8">
        <f>SUM('Cleaned data'!F86:F86:'Cleaned data'!F87)</f>
        <v>5784.73</v>
      </c>
    </row>
    <row r="88" spans="7:15" x14ac:dyDescent="0.25">
      <c r="G88"/>
      <c r="K88"/>
      <c r="N88" s="5">
        <v>46004</v>
      </c>
      <c r="O88" s="8">
        <f>SUM('Cleaned data'!F87:F87:'Cleaned data'!F88)</f>
        <v>5630.2199999999993</v>
      </c>
    </row>
    <row r="89" spans="7:15" x14ac:dyDescent="0.25">
      <c r="G89"/>
      <c r="K89"/>
      <c r="N89" s="5">
        <v>45889</v>
      </c>
      <c r="O89" s="8">
        <f>SUM('Cleaned data'!F88:F88:'Cleaned data'!F89)</f>
        <v>6394.23</v>
      </c>
    </row>
    <row r="90" spans="7:15" x14ac:dyDescent="0.25">
      <c r="G90"/>
      <c r="K90"/>
      <c r="N90" s="5">
        <v>45999</v>
      </c>
      <c r="O90" s="8">
        <f>SUM('Cleaned data'!F89:F89:'Cleaned data'!F90)</f>
        <v>8956.39</v>
      </c>
    </row>
    <row r="91" spans="7:15" x14ac:dyDescent="0.25">
      <c r="G91"/>
      <c r="K91"/>
      <c r="N91" s="5">
        <v>45904</v>
      </c>
      <c r="O91" s="8">
        <f>SUM('Cleaned data'!F90:F90:'Cleaned data'!F91)</f>
        <v>6472.66</v>
      </c>
    </row>
    <row r="92" spans="7:15" x14ac:dyDescent="0.25">
      <c r="G92"/>
      <c r="K92"/>
      <c r="N92" s="5">
        <v>46041</v>
      </c>
      <c r="O92" s="8">
        <f>SUM('Cleaned data'!F91:F91:'Cleaned data'!F92)</f>
        <v>5940.33</v>
      </c>
    </row>
    <row r="93" spans="7:15" x14ac:dyDescent="0.25">
      <c r="G93"/>
      <c r="K93"/>
      <c r="N93" s="5">
        <v>45958</v>
      </c>
      <c r="O93" s="8">
        <f>SUM('Cleaned data'!F92:F92:'Cleaned data'!F93)</f>
        <v>7551.7999999999993</v>
      </c>
    </row>
    <row r="94" spans="7:15" x14ac:dyDescent="0.25">
      <c r="G94"/>
      <c r="K94"/>
      <c r="N94" s="5">
        <v>45914</v>
      </c>
      <c r="O94" s="8">
        <f>SUM('Cleaned data'!F93:F93:'Cleaned data'!F94)</f>
        <v>4345.45</v>
      </c>
    </row>
    <row r="95" spans="7:15" x14ac:dyDescent="0.25">
      <c r="G95"/>
      <c r="K95"/>
      <c r="N95" s="5">
        <v>46005</v>
      </c>
      <c r="O95" s="8">
        <f>SUM('Cleaned data'!F94:F94:'Cleaned data'!F95)</f>
        <v>5078.1000000000004</v>
      </c>
    </row>
    <row r="96" spans="7:15" x14ac:dyDescent="0.25">
      <c r="G96"/>
      <c r="K96"/>
      <c r="N96" s="5">
        <v>46033</v>
      </c>
      <c r="O96" s="8">
        <f>SUM('Cleaned data'!F95:F95:'Cleaned data'!F96)</f>
        <v>7068.64</v>
      </c>
    </row>
    <row r="97" spans="7:15" x14ac:dyDescent="0.25">
      <c r="G97"/>
      <c r="K97"/>
      <c r="N97" s="5">
        <v>45891</v>
      </c>
      <c r="O97" s="8">
        <f>SUM('Cleaned data'!F96:F96:'Cleaned data'!F97)</f>
        <v>6691.96</v>
      </c>
    </row>
    <row r="98" spans="7:15" x14ac:dyDescent="0.25">
      <c r="G98"/>
      <c r="K98"/>
      <c r="N98" s="5">
        <v>45898</v>
      </c>
      <c r="O98" s="8">
        <f>SUM('Cleaned data'!F97:F97:'Cleaned data'!F98)</f>
        <v>5775.21</v>
      </c>
    </row>
    <row r="99" spans="7:15" x14ac:dyDescent="0.25">
      <c r="G99"/>
      <c r="K99"/>
      <c r="N99" s="5">
        <v>45875</v>
      </c>
      <c r="O99" s="8">
        <f>SUM('Cleaned data'!F98:F98:'Cleaned data'!F99)</f>
        <v>6117.09</v>
      </c>
    </row>
    <row r="100" spans="7:15" x14ac:dyDescent="0.25">
      <c r="G100"/>
      <c r="K100"/>
      <c r="N100" s="5">
        <v>46022</v>
      </c>
      <c r="O100" s="8">
        <f>SUM('Cleaned data'!F99:F99:'Cleaned data'!F100)</f>
        <v>6459.39</v>
      </c>
    </row>
    <row r="101" spans="7:15" x14ac:dyDescent="0.25">
      <c r="G101"/>
      <c r="K101"/>
      <c r="N101" s="5">
        <v>45948</v>
      </c>
      <c r="O101" s="8">
        <f>SUM('Cleaned data'!F100:F100:'Cleaned data'!F101)</f>
        <v>2080.1999999999998</v>
      </c>
    </row>
    <row r="102" spans="7:15" x14ac:dyDescent="0.25">
      <c r="G102"/>
      <c r="K102"/>
      <c r="N102" s="5">
        <v>45928</v>
      </c>
      <c r="O102" s="8">
        <f>SUM('Cleaned data'!F101:F101:'Cleaned data'!F102)</f>
        <v>4635.29</v>
      </c>
    </row>
    <row r="103" spans="7:15" x14ac:dyDescent="0.25">
      <c r="G103"/>
      <c r="K103"/>
      <c r="N103"/>
    </row>
    <row r="104" spans="7:15" x14ac:dyDescent="0.25">
      <c r="G104"/>
      <c r="K104"/>
      <c r="N104"/>
    </row>
    <row r="105" spans="7:15" x14ac:dyDescent="0.25">
      <c r="G105"/>
      <c r="K105"/>
      <c r="N105"/>
    </row>
    <row r="106" spans="7:15" x14ac:dyDescent="0.25">
      <c r="G106"/>
      <c r="K106"/>
      <c r="N106"/>
    </row>
    <row r="107" spans="7:15" x14ac:dyDescent="0.25">
      <c r="G107"/>
      <c r="K107"/>
      <c r="N107"/>
    </row>
    <row r="108" spans="7:15" x14ac:dyDescent="0.25">
      <c r="G108"/>
      <c r="K108"/>
      <c r="N108"/>
    </row>
    <row r="109" spans="7:15" x14ac:dyDescent="0.25">
      <c r="G109"/>
      <c r="K109"/>
      <c r="N109"/>
    </row>
    <row r="110" spans="7:15" x14ac:dyDescent="0.25">
      <c r="G110"/>
      <c r="K110"/>
      <c r="N110"/>
    </row>
    <row r="111" spans="7:15" x14ac:dyDescent="0.25">
      <c r="G111"/>
      <c r="K111"/>
      <c r="N111"/>
    </row>
    <row r="112" spans="7:15" x14ac:dyDescent="0.25">
      <c r="G112"/>
      <c r="K112"/>
      <c r="N112"/>
    </row>
    <row r="113" spans="7:14" x14ac:dyDescent="0.25">
      <c r="G113"/>
      <c r="K113"/>
      <c r="N113"/>
    </row>
    <row r="114" spans="7:14" x14ac:dyDescent="0.25">
      <c r="G114"/>
      <c r="K114"/>
      <c r="N114"/>
    </row>
    <row r="115" spans="7:14" x14ac:dyDescent="0.25">
      <c r="G115"/>
      <c r="K115"/>
      <c r="N115"/>
    </row>
    <row r="116" spans="7:14" x14ac:dyDescent="0.25">
      <c r="G116"/>
      <c r="K116"/>
      <c r="N116"/>
    </row>
    <row r="117" spans="7:14" x14ac:dyDescent="0.25">
      <c r="G117"/>
      <c r="K117"/>
      <c r="N117"/>
    </row>
    <row r="118" spans="7:14" x14ac:dyDescent="0.25">
      <c r="G118"/>
      <c r="K118"/>
      <c r="N118"/>
    </row>
    <row r="119" spans="7:14" x14ac:dyDescent="0.25">
      <c r="G119"/>
      <c r="K119"/>
      <c r="N119"/>
    </row>
    <row r="120" spans="7:14" x14ac:dyDescent="0.25">
      <c r="G120"/>
      <c r="K120"/>
      <c r="N120"/>
    </row>
    <row r="121" spans="7:14" x14ac:dyDescent="0.25">
      <c r="G121"/>
      <c r="K121"/>
      <c r="N121"/>
    </row>
    <row r="122" spans="7:14" x14ac:dyDescent="0.25">
      <c r="G122"/>
      <c r="K122"/>
      <c r="N122"/>
    </row>
    <row r="123" spans="7:14" x14ac:dyDescent="0.25">
      <c r="G123"/>
      <c r="K123"/>
      <c r="N123"/>
    </row>
    <row r="124" spans="7:14" x14ac:dyDescent="0.25">
      <c r="G124"/>
      <c r="K124"/>
      <c r="N124"/>
    </row>
    <row r="125" spans="7:14" x14ac:dyDescent="0.25">
      <c r="G125"/>
      <c r="K125"/>
      <c r="N125"/>
    </row>
    <row r="126" spans="7:14" x14ac:dyDescent="0.25">
      <c r="G126"/>
      <c r="K126"/>
      <c r="N126"/>
    </row>
    <row r="127" spans="7:14" x14ac:dyDescent="0.25">
      <c r="G127"/>
      <c r="K127"/>
      <c r="N127"/>
    </row>
    <row r="128" spans="7:14" x14ac:dyDescent="0.25">
      <c r="G128"/>
      <c r="K128"/>
      <c r="N128"/>
    </row>
    <row r="129" spans="7:14" x14ac:dyDescent="0.25">
      <c r="G129"/>
      <c r="K129"/>
      <c r="N129"/>
    </row>
    <row r="130" spans="7:14" x14ac:dyDescent="0.25">
      <c r="G130"/>
      <c r="K130"/>
      <c r="N130"/>
    </row>
    <row r="131" spans="7:14" x14ac:dyDescent="0.25">
      <c r="G131"/>
      <c r="K131"/>
      <c r="N131"/>
    </row>
    <row r="132" spans="7:14" x14ac:dyDescent="0.25">
      <c r="G132"/>
      <c r="K132"/>
      <c r="N132"/>
    </row>
    <row r="133" spans="7:14" x14ac:dyDescent="0.25">
      <c r="G133"/>
      <c r="K133"/>
      <c r="N133"/>
    </row>
    <row r="134" spans="7:14" x14ac:dyDescent="0.25">
      <c r="G134"/>
      <c r="K134"/>
      <c r="N134"/>
    </row>
    <row r="135" spans="7:14" x14ac:dyDescent="0.25">
      <c r="G135"/>
      <c r="K135"/>
      <c r="N135"/>
    </row>
    <row r="136" spans="7:14" x14ac:dyDescent="0.25">
      <c r="G136"/>
      <c r="K136"/>
      <c r="N136"/>
    </row>
    <row r="137" spans="7:14" x14ac:dyDescent="0.25">
      <c r="G137"/>
      <c r="K137"/>
      <c r="N137"/>
    </row>
    <row r="138" spans="7:14" x14ac:dyDescent="0.25">
      <c r="G138"/>
      <c r="K138"/>
      <c r="N138"/>
    </row>
    <row r="139" spans="7:14" x14ac:dyDescent="0.25">
      <c r="G139"/>
      <c r="K139"/>
      <c r="N139"/>
    </row>
    <row r="140" spans="7:14" x14ac:dyDescent="0.25">
      <c r="G140"/>
      <c r="K140"/>
      <c r="N140"/>
    </row>
    <row r="141" spans="7:14" x14ac:dyDescent="0.25">
      <c r="G141"/>
      <c r="K141"/>
      <c r="N141"/>
    </row>
    <row r="142" spans="7:14" x14ac:dyDescent="0.25">
      <c r="G142"/>
      <c r="K142"/>
      <c r="N142"/>
    </row>
    <row r="143" spans="7:14" x14ac:dyDescent="0.25">
      <c r="G143"/>
      <c r="K143"/>
      <c r="N143"/>
    </row>
    <row r="144" spans="7:14" x14ac:dyDescent="0.25">
      <c r="G144"/>
      <c r="K144"/>
      <c r="N144"/>
    </row>
    <row r="145" spans="7:14" x14ac:dyDescent="0.25">
      <c r="G145"/>
      <c r="K145"/>
      <c r="N145"/>
    </row>
    <row r="146" spans="7:14" x14ac:dyDescent="0.25">
      <c r="G146"/>
      <c r="K146"/>
      <c r="N146"/>
    </row>
    <row r="147" spans="7:14" x14ac:dyDescent="0.25">
      <c r="G147"/>
      <c r="K147"/>
      <c r="N147"/>
    </row>
    <row r="148" spans="7:14" x14ac:dyDescent="0.25">
      <c r="G148"/>
      <c r="K148"/>
      <c r="N148"/>
    </row>
    <row r="149" spans="7:14" x14ac:dyDescent="0.25">
      <c r="G149"/>
      <c r="K149"/>
      <c r="N149"/>
    </row>
    <row r="150" spans="7:14" x14ac:dyDescent="0.25">
      <c r="G150"/>
      <c r="K150"/>
      <c r="N150"/>
    </row>
    <row r="151" spans="7:14" x14ac:dyDescent="0.25">
      <c r="G151"/>
      <c r="K151"/>
      <c r="N151"/>
    </row>
  </sheetData>
  <mergeCells count="2">
    <mergeCell ref="G10:I10"/>
    <mergeCell ref="C9:E9"/>
  </mergeCells>
  <pageMargins left="0.7" right="0.7" top="0.75" bottom="0.75" header="0.3" footer="0.3"/>
  <pageSetup orientation="portrait" horizontalDpi="360" verticalDpi="360" r:id="rId1"/>
  <tableParts count="4">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9C321-FF11-4A95-A64F-4BFF8A6C6B37}">
  <dimension ref="A3:S11"/>
  <sheetViews>
    <sheetView workbookViewId="0">
      <selection activeCell="AD30" sqref="AD30"/>
    </sheetView>
  </sheetViews>
  <sheetFormatPr defaultRowHeight="15" x14ac:dyDescent="0.25"/>
  <cols>
    <col min="1" max="1" width="13.140625" bestFit="1" customWidth="1"/>
    <col min="2" max="2" width="14.85546875" bestFit="1" customWidth="1"/>
    <col min="4" max="4" width="13.140625" bestFit="1" customWidth="1"/>
    <col min="5" max="5" width="14.85546875" bestFit="1" customWidth="1"/>
    <col min="7" max="7" width="13.140625" bestFit="1" customWidth="1"/>
    <col min="8" max="8" width="17.140625" bestFit="1" customWidth="1"/>
    <col min="10" max="10" width="14" bestFit="1" customWidth="1"/>
    <col min="11" max="11" width="14.85546875" bestFit="1" customWidth="1"/>
    <col min="18" max="18" width="13.140625" bestFit="1" customWidth="1"/>
    <col min="19" max="19" width="14.85546875" bestFit="1" customWidth="1"/>
    <col min="20" max="20" width="12.140625" bestFit="1" customWidth="1"/>
    <col min="21" max="21" width="10.140625" bestFit="1" customWidth="1"/>
    <col min="22" max="22" width="4.140625" bestFit="1" customWidth="1"/>
    <col min="23" max="23" width="7.7109375" bestFit="1" customWidth="1"/>
    <col min="24" max="24" width="7.85546875" bestFit="1" customWidth="1"/>
    <col min="25" max="25" width="6.85546875" bestFit="1" customWidth="1"/>
    <col min="26" max="26" width="9.7109375" bestFit="1" customWidth="1"/>
    <col min="27" max="27" width="10.5703125" bestFit="1" customWidth="1"/>
    <col min="28" max="28" width="6" bestFit="1" customWidth="1"/>
    <col min="29" max="29" width="4.85546875" bestFit="1" customWidth="1"/>
    <col min="30" max="30" width="7.140625" bestFit="1" customWidth="1"/>
    <col min="31" max="31" width="4.28515625" bestFit="1" customWidth="1"/>
    <col min="32" max="32" width="9.5703125" bestFit="1" customWidth="1"/>
    <col min="33" max="33" width="16" bestFit="1" customWidth="1"/>
    <col min="34" max="34" width="11.85546875" bestFit="1" customWidth="1"/>
    <col min="35" max="36" width="8.28515625" bestFit="1" customWidth="1"/>
    <col min="37" max="37" width="7.5703125" bestFit="1" customWidth="1"/>
    <col min="38" max="38" width="6.42578125" bestFit="1" customWidth="1"/>
    <col min="39" max="39" width="9.5703125" bestFit="1" customWidth="1"/>
    <col min="40" max="40" width="10.5703125" bestFit="1" customWidth="1"/>
    <col min="41" max="41" width="6.85546875" bestFit="1" customWidth="1"/>
    <col min="42" max="42" width="7.7109375" bestFit="1" customWidth="1"/>
    <col min="43" max="43" width="12" bestFit="1" customWidth="1"/>
    <col min="44" max="44" width="4.5703125" bestFit="1" customWidth="1"/>
    <col min="45" max="45" width="5.42578125" bestFit="1" customWidth="1"/>
    <col min="46" max="46" width="6.5703125" bestFit="1" customWidth="1"/>
    <col min="47" max="47" width="11.28515625" bestFit="1" customWidth="1"/>
  </cols>
  <sheetData>
    <row r="3" spans="1:19" x14ac:dyDescent="0.25">
      <c r="A3" s="21" t="s">
        <v>259</v>
      </c>
      <c r="B3" t="s">
        <v>260</v>
      </c>
      <c r="D3" s="21" t="s">
        <v>259</v>
      </c>
      <c r="E3" t="s">
        <v>260</v>
      </c>
      <c r="G3" s="21" t="s">
        <v>259</v>
      </c>
      <c r="H3" t="s">
        <v>260</v>
      </c>
      <c r="J3" s="21" t="s">
        <v>259</v>
      </c>
      <c r="K3" t="s">
        <v>260</v>
      </c>
    </row>
    <row r="4" spans="1:19" x14ac:dyDescent="0.25">
      <c r="A4" s="17" t="s">
        <v>243</v>
      </c>
      <c r="B4" s="10">
        <v>28485.579999999994</v>
      </c>
      <c r="D4" s="17" t="s">
        <v>169</v>
      </c>
      <c r="E4" s="10">
        <v>133107.09999999998</v>
      </c>
      <c r="G4" s="17" t="s">
        <v>243</v>
      </c>
      <c r="H4" s="10">
        <v>28485.579999999994</v>
      </c>
      <c r="J4" s="17" t="s">
        <v>12</v>
      </c>
      <c r="K4" s="10">
        <v>25427.91</v>
      </c>
    </row>
    <row r="5" spans="1:19" x14ac:dyDescent="0.25">
      <c r="A5" s="17" t="s">
        <v>248</v>
      </c>
      <c r="B5" s="10">
        <v>16873.77</v>
      </c>
      <c r="D5" s="17" t="s">
        <v>171</v>
      </c>
      <c r="E5" s="10">
        <v>125129.29</v>
      </c>
      <c r="G5" s="17" t="s">
        <v>248</v>
      </c>
      <c r="H5" s="10">
        <v>16873.77</v>
      </c>
      <c r="J5" s="17" t="s">
        <v>17</v>
      </c>
      <c r="K5" s="10">
        <v>34284.67</v>
      </c>
    </row>
    <row r="6" spans="1:19" x14ac:dyDescent="0.25">
      <c r="A6" s="17" t="s">
        <v>245</v>
      </c>
      <c r="B6" s="10">
        <v>67939.72</v>
      </c>
      <c r="D6" s="17" t="s">
        <v>170</v>
      </c>
      <c r="E6" s="10">
        <v>114922.82999999997</v>
      </c>
      <c r="G6" s="17" t="s">
        <v>245</v>
      </c>
      <c r="H6" s="10">
        <v>67939.72</v>
      </c>
      <c r="J6" s="17" t="s">
        <v>13</v>
      </c>
      <c r="K6" s="10">
        <v>51240.790000000008</v>
      </c>
      <c r="R6" s="21" t="s">
        <v>259</v>
      </c>
      <c r="S6" t="s">
        <v>260</v>
      </c>
    </row>
    <row r="7" spans="1:19" x14ac:dyDescent="0.25">
      <c r="A7" s="17" t="s">
        <v>247</v>
      </c>
      <c r="B7" s="10">
        <v>79596.039999999979</v>
      </c>
      <c r="D7" s="17" t="s">
        <v>261</v>
      </c>
      <c r="E7" s="10">
        <v>373159.21999999991</v>
      </c>
      <c r="G7" s="17" t="s">
        <v>247</v>
      </c>
      <c r="H7" s="10">
        <v>79596.039999999979</v>
      </c>
      <c r="J7" s="17" t="s">
        <v>18</v>
      </c>
      <c r="K7" s="10">
        <v>53953.719999999994</v>
      </c>
      <c r="R7" s="17" t="s">
        <v>195</v>
      </c>
      <c r="S7" s="10">
        <v>15332.98</v>
      </c>
    </row>
    <row r="8" spans="1:19" x14ac:dyDescent="0.25">
      <c r="A8" s="17" t="s">
        <v>244</v>
      </c>
      <c r="B8" s="10">
        <v>64382.409999999996</v>
      </c>
      <c r="G8" s="17" t="s">
        <v>244</v>
      </c>
      <c r="H8" s="10">
        <v>64382.409999999996</v>
      </c>
      <c r="J8" s="17" t="s">
        <v>16</v>
      </c>
      <c r="K8" s="10">
        <v>63013.39</v>
      </c>
      <c r="R8" s="17" t="s">
        <v>198</v>
      </c>
      <c r="S8" s="10">
        <v>7446.52</v>
      </c>
    </row>
    <row r="9" spans="1:19" x14ac:dyDescent="0.25">
      <c r="A9" s="17" t="s">
        <v>242</v>
      </c>
      <c r="B9" s="10">
        <v>40165.729999999989</v>
      </c>
      <c r="G9" s="17" t="s">
        <v>242</v>
      </c>
      <c r="H9" s="10">
        <v>40165.729999999989</v>
      </c>
      <c r="J9" s="17" t="s">
        <v>15</v>
      </c>
      <c r="K9" s="10">
        <v>65266.479999999989</v>
      </c>
      <c r="R9" s="17" t="s">
        <v>191</v>
      </c>
      <c r="S9" s="10">
        <v>18350.73</v>
      </c>
    </row>
    <row r="10" spans="1:19" x14ac:dyDescent="0.25">
      <c r="A10" s="17" t="s">
        <v>246</v>
      </c>
      <c r="B10" s="10">
        <v>75715.97</v>
      </c>
      <c r="G10" s="17" t="s">
        <v>246</v>
      </c>
      <c r="H10" s="10">
        <v>75715.97</v>
      </c>
      <c r="J10" s="17" t="s">
        <v>14</v>
      </c>
      <c r="K10" s="10">
        <v>79972.259999999966</v>
      </c>
      <c r="R10" s="17" t="s">
        <v>181</v>
      </c>
      <c r="S10" s="10">
        <v>12823.49</v>
      </c>
    </row>
    <row r="11" spans="1:19" x14ac:dyDescent="0.25">
      <c r="A11" s="17" t="s">
        <v>261</v>
      </c>
      <c r="B11" s="10">
        <v>373159.22</v>
      </c>
      <c r="G11" s="17" t="s">
        <v>261</v>
      </c>
      <c r="H11" s="10">
        <v>373159.22</v>
      </c>
      <c r="J11" s="17" t="s">
        <v>261</v>
      </c>
      <c r="K11" s="10">
        <v>373159.21999999991</v>
      </c>
      <c r="R11" s="17" t="s">
        <v>261</v>
      </c>
      <c r="S11" s="10">
        <v>53953.719999999994</v>
      </c>
    </row>
  </sheetData>
  <autoFilter ref="G3:H11" xr:uid="{B607E5E6-CB5E-4DE6-90BC-D2288594FCDC}"/>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BFE3-0B0D-4614-BD4F-E7893502BA4B}">
  <dimension ref="A3:L24"/>
  <sheetViews>
    <sheetView topLeftCell="A7" workbookViewId="0">
      <selection activeCell="A6" sqref="A6:B6"/>
      <pivotSelection pane="bottomRight" showHeader="1" extendable="1" axis="axisRow" start="2" max="4" activeRow="5" previousRow="5" click="1" r:id="rId1">
        <pivotArea dataOnly="0" fieldPosition="0">
          <references count="1">
            <reference field="4" count="1">
              <x v="2"/>
            </reference>
          </references>
        </pivotArea>
      </pivotSelection>
    </sheetView>
  </sheetViews>
  <sheetFormatPr defaultRowHeight="15" x14ac:dyDescent="0.25"/>
  <cols>
    <col min="1" max="1" width="13.140625" bestFit="1" customWidth="1"/>
    <col min="2" max="2" width="14.85546875" bestFit="1" customWidth="1"/>
    <col min="3" max="3" width="7.28515625" customWidth="1"/>
    <col min="4" max="4" width="17.5703125" customWidth="1"/>
    <col min="5" max="5" width="15.28515625" customWidth="1"/>
    <col min="6" max="6" width="17.7109375" customWidth="1"/>
    <col min="7" max="7" width="11.7109375" customWidth="1"/>
    <col min="8" max="8" width="9.5703125" customWidth="1"/>
    <col min="9" max="9" width="23.5703125" customWidth="1"/>
    <col min="10" max="10" width="16.28515625" customWidth="1"/>
    <col min="11" max="11" width="10.140625" customWidth="1"/>
    <col min="12" max="12" width="14.42578125" customWidth="1"/>
  </cols>
  <sheetData>
    <row r="3" spans="1:12" x14ac:dyDescent="0.25">
      <c r="A3" s="21" t="s">
        <v>259</v>
      </c>
      <c r="B3" t="s">
        <v>260</v>
      </c>
      <c r="D3" s="22" t="s">
        <v>260</v>
      </c>
      <c r="E3" s="15" t="s">
        <v>263</v>
      </c>
      <c r="F3" s="15"/>
      <c r="G3" s="15"/>
      <c r="I3" s="22" t="s">
        <v>262</v>
      </c>
      <c r="J3" s="15" t="s">
        <v>263</v>
      </c>
      <c r="K3" s="15"/>
      <c r="L3" s="15"/>
    </row>
    <row r="4" spans="1:12" x14ac:dyDescent="0.25">
      <c r="A4" s="17" t="s">
        <v>169</v>
      </c>
      <c r="B4" s="10">
        <v>133107.09999999998</v>
      </c>
      <c r="D4" s="22" t="s">
        <v>259</v>
      </c>
      <c r="E4" s="22" t="s">
        <v>207</v>
      </c>
      <c r="F4" s="22" t="s">
        <v>206</v>
      </c>
      <c r="G4" s="22" t="s">
        <v>261</v>
      </c>
      <c r="I4" s="22" t="s">
        <v>259</v>
      </c>
      <c r="J4" s="22" t="s">
        <v>207</v>
      </c>
      <c r="K4" s="22" t="s">
        <v>206</v>
      </c>
      <c r="L4" s="22" t="s">
        <v>261</v>
      </c>
    </row>
    <row r="5" spans="1:12" x14ac:dyDescent="0.25">
      <c r="A5" s="17" t="s">
        <v>171</v>
      </c>
      <c r="B5" s="10">
        <v>125129.29</v>
      </c>
      <c r="D5" s="15" t="s">
        <v>201</v>
      </c>
      <c r="E5" s="20">
        <v>65157.569999999992</v>
      </c>
      <c r="F5" s="20">
        <v>17965.759999999998</v>
      </c>
      <c r="G5" s="20">
        <v>83123.329999999987</v>
      </c>
      <c r="I5" s="15" t="s">
        <v>243</v>
      </c>
      <c r="J5" s="20">
        <v>11</v>
      </c>
      <c r="K5" s="20">
        <v>6</v>
      </c>
      <c r="L5" s="20">
        <v>17</v>
      </c>
    </row>
    <row r="6" spans="1:12" x14ac:dyDescent="0.25">
      <c r="A6" s="17" t="s">
        <v>170</v>
      </c>
      <c r="B6" s="10">
        <v>114922.82999999997</v>
      </c>
      <c r="D6" s="15" t="s">
        <v>203</v>
      </c>
      <c r="E6" s="20">
        <v>27332.01</v>
      </c>
      <c r="F6" s="20">
        <v>6751.5199999999995</v>
      </c>
      <c r="G6" s="20">
        <v>34083.53</v>
      </c>
      <c r="I6" s="15" t="s">
        <v>248</v>
      </c>
      <c r="J6" s="20">
        <v>5</v>
      </c>
      <c r="K6" s="20">
        <v>1</v>
      </c>
      <c r="L6" s="20">
        <v>6</v>
      </c>
    </row>
    <row r="7" spans="1:12" x14ac:dyDescent="0.25">
      <c r="A7" s="17" t="s">
        <v>261</v>
      </c>
      <c r="B7" s="10">
        <v>373159.21999999991</v>
      </c>
      <c r="D7" s="15" t="s">
        <v>205</v>
      </c>
      <c r="E7" s="20">
        <v>69647.750000000015</v>
      </c>
      <c r="F7" s="20">
        <v>5101.43</v>
      </c>
      <c r="G7" s="20">
        <v>74749.180000000022</v>
      </c>
      <c r="I7" s="15" t="s">
        <v>245</v>
      </c>
      <c r="J7" s="20">
        <v>24</v>
      </c>
      <c r="K7" s="20">
        <v>5</v>
      </c>
      <c r="L7" s="20">
        <v>29</v>
      </c>
    </row>
    <row r="8" spans="1:12" x14ac:dyDescent="0.25">
      <c r="D8" s="15" t="s">
        <v>204</v>
      </c>
      <c r="E8" s="20">
        <v>69892.37999999999</v>
      </c>
      <c r="F8" s="20">
        <v>8715.68</v>
      </c>
      <c r="G8" s="20">
        <v>78608.06</v>
      </c>
      <c r="I8" s="15" t="s">
        <v>247</v>
      </c>
      <c r="J8" s="20">
        <v>22</v>
      </c>
      <c r="K8" s="20">
        <v>6</v>
      </c>
      <c r="L8" s="20">
        <v>28</v>
      </c>
    </row>
    <row r="9" spans="1:12" x14ac:dyDescent="0.25">
      <c r="D9" s="15" t="s">
        <v>200</v>
      </c>
      <c r="E9" s="20">
        <v>43399.5</v>
      </c>
      <c r="F9" s="20">
        <v>12424.64</v>
      </c>
      <c r="G9" s="20">
        <v>55824.14</v>
      </c>
      <c r="I9" s="15" t="s">
        <v>244</v>
      </c>
      <c r="J9" s="20">
        <v>19</v>
      </c>
      <c r="K9" s="20">
        <v>6</v>
      </c>
      <c r="L9" s="20">
        <v>25</v>
      </c>
    </row>
    <row r="10" spans="1:12" x14ac:dyDescent="0.25">
      <c r="D10" s="15" t="s">
        <v>202</v>
      </c>
      <c r="E10" s="20">
        <v>30507.439999999999</v>
      </c>
      <c r="F10" s="20">
        <v>16263.539999999999</v>
      </c>
      <c r="G10" s="20">
        <v>46770.979999999996</v>
      </c>
      <c r="I10" s="15" t="s">
        <v>242</v>
      </c>
      <c r="J10" s="20">
        <v>16</v>
      </c>
      <c r="K10" s="20">
        <v>3</v>
      </c>
      <c r="L10" s="20">
        <v>19</v>
      </c>
    </row>
    <row r="11" spans="1:12" x14ac:dyDescent="0.25">
      <c r="D11" s="15" t="s">
        <v>261</v>
      </c>
      <c r="E11" s="20">
        <v>305936.65000000002</v>
      </c>
      <c r="F11" s="20">
        <v>67222.569999999992</v>
      </c>
      <c r="G11" s="20">
        <v>373159.22</v>
      </c>
      <c r="I11" s="15" t="s">
        <v>246</v>
      </c>
      <c r="J11" s="20">
        <v>21</v>
      </c>
      <c r="K11" s="20">
        <v>5</v>
      </c>
      <c r="L11" s="20">
        <v>26</v>
      </c>
    </row>
    <row r="12" spans="1:12" x14ac:dyDescent="0.25">
      <c r="I12" s="15" t="s">
        <v>261</v>
      </c>
      <c r="J12" s="20">
        <v>118</v>
      </c>
      <c r="K12" s="20">
        <v>32</v>
      </c>
      <c r="L12" s="20">
        <v>150</v>
      </c>
    </row>
    <row r="15" spans="1:12" x14ac:dyDescent="0.25">
      <c r="D15" s="21" t="s">
        <v>262</v>
      </c>
      <c r="E15" t="s">
        <v>263</v>
      </c>
    </row>
    <row r="16" spans="1:12" x14ac:dyDescent="0.25">
      <c r="D16" s="21" t="s">
        <v>259</v>
      </c>
      <c r="E16" s="21" t="s">
        <v>235</v>
      </c>
      <c r="F16" s="21" t="s">
        <v>236</v>
      </c>
      <c r="G16" s="21" t="s">
        <v>261</v>
      </c>
      <c r="H16" s="21"/>
      <c r="I16" s="21"/>
      <c r="J16" s="21"/>
      <c r="K16" s="21"/>
      <c r="L16" s="21"/>
    </row>
    <row r="17" spans="4:7" x14ac:dyDescent="0.25">
      <c r="D17" s="17" t="s">
        <v>18</v>
      </c>
      <c r="E17" s="10">
        <v>16</v>
      </c>
      <c r="F17" s="10">
        <v>1</v>
      </c>
      <c r="G17" s="10">
        <v>17</v>
      </c>
    </row>
    <row r="18" spans="4:7" x14ac:dyDescent="0.25">
      <c r="D18" s="17" t="s">
        <v>14</v>
      </c>
      <c r="E18" s="10">
        <v>32</v>
      </c>
      <c r="F18" s="10">
        <v>1</v>
      </c>
      <c r="G18" s="10">
        <v>33</v>
      </c>
    </row>
    <row r="19" spans="4:7" x14ac:dyDescent="0.25">
      <c r="D19" s="17" t="s">
        <v>13</v>
      </c>
      <c r="E19" s="10">
        <v>19</v>
      </c>
      <c r="F19" s="10">
        <v>2</v>
      </c>
      <c r="G19" s="10">
        <v>21</v>
      </c>
    </row>
    <row r="20" spans="4:7" x14ac:dyDescent="0.25">
      <c r="D20" s="17" t="s">
        <v>17</v>
      </c>
      <c r="E20" s="10">
        <v>14</v>
      </c>
      <c r="F20" s="10">
        <v>1</v>
      </c>
      <c r="G20" s="10">
        <v>15</v>
      </c>
    </row>
    <row r="21" spans="4:7" x14ac:dyDescent="0.25">
      <c r="D21" s="17" t="s">
        <v>12</v>
      </c>
      <c r="E21" s="10">
        <v>11</v>
      </c>
      <c r="F21" s="10"/>
      <c r="G21" s="10">
        <v>11</v>
      </c>
    </row>
    <row r="22" spans="4:7" x14ac:dyDescent="0.25">
      <c r="D22" s="17" t="s">
        <v>16</v>
      </c>
      <c r="E22" s="10">
        <v>22</v>
      </c>
      <c r="F22" s="10">
        <v>3</v>
      </c>
      <c r="G22" s="10">
        <v>25</v>
      </c>
    </row>
    <row r="23" spans="4:7" x14ac:dyDescent="0.25">
      <c r="D23" s="17" t="s">
        <v>15</v>
      </c>
      <c r="E23" s="10">
        <v>24</v>
      </c>
      <c r="F23" s="10">
        <v>4</v>
      </c>
      <c r="G23" s="10">
        <v>28</v>
      </c>
    </row>
    <row r="24" spans="4:7" x14ac:dyDescent="0.25">
      <c r="D24" s="17" t="s">
        <v>261</v>
      </c>
      <c r="E24" s="10">
        <v>138</v>
      </c>
      <c r="F24" s="10">
        <v>12</v>
      </c>
      <c r="G24" s="10">
        <v>150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2C1C1-F633-4160-AF4D-6C712832E1EE}">
  <dimension ref="A1"/>
  <sheetViews>
    <sheetView showGridLines="0" zoomScale="91" zoomScaleNormal="91" workbookViewId="0">
      <selection activeCell="O5" sqref="O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Cleaned data</vt:lpstr>
      <vt:lpstr>calculations</vt:lpstr>
      <vt:lpstr>created pivot tables</vt:lpstr>
      <vt:lpstr>recommended pt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2026-01-21T07:47:34Z</dcterms:created>
  <dcterms:modified xsi:type="dcterms:W3CDTF">2026-01-27T12:04:50Z</dcterms:modified>
</cp:coreProperties>
</file>